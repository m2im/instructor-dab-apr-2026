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codeName="ThisWorkbook" defaultThemeVersion="166925"/>
  <xr:revisionPtr revIDLastSave="0" documentId="13_ncr:1_{83313FA6-A5A9-4589-B2A0-EDD13C5BFB75}" xr6:coauthVersionLast="47" xr6:coauthVersionMax="47" xr10:uidLastSave="{00000000-0000-0000-0000-000000000000}"/>
  <bookViews>
    <workbookView xWindow="38290" yWindow="-860" windowWidth="19420" windowHeight="10300" tabRatio="927" firstSheet="5" activeTab="8"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23" i="7" l="1"/>
  <c r="D9" i="21"/>
  <c r="F35" i="13"/>
  <c r="F33" i="13"/>
  <c r="E31" i="13"/>
  <c r="D36" i="10"/>
  <c r="D6" i="10"/>
  <c r="D8" i="10" s="1"/>
  <c r="G7" i="11"/>
  <c r="D7" i="11"/>
  <c r="G15" i="1"/>
  <c r="D7" i="1"/>
  <c r="G15" i="16"/>
  <c r="G7" i="16"/>
  <c r="F7" i="19"/>
  <c r="F3" i="19"/>
  <c r="A38" i="7"/>
  <c r="D10" i="20"/>
  <c r="G51" i="16"/>
  <c r="D12" i="13"/>
  <c r="D7" i="16"/>
  <c r="G7" i="19"/>
  <c r="D36" i="21"/>
  <c r="J43" i="19"/>
  <c r="G6" i="19"/>
  <c r="G5" i="19"/>
  <c r="G4" i="19"/>
  <c r="G3" i="19"/>
  <c r="G43" i="9"/>
  <c r="D43" i="9"/>
  <c r="F3" i="15"/>
  <c r="E3" i="15"/>
  <c r="D51" i="16"/>
  <c r="F29" i="13"/>
  <c r="F28" i="13"/>
  <c r="F31" i="13" s="1"/>
  <c r="G15" i="11"/>
  <c r="D39" i="16"/>
  <c r="D29" i="15"/>
  <c r="C37" i="15" s="1"/>
  <c r="D28" i="15"/>
  <c r="C36" i="15" s="1"/>
  <c r="F37" i="13" l="1"/>
  <c r="D11" i="10"/>
  <c r="F6" i="10"/>
  <c r="C33" i="15"/>
  <c r="C32" i="15"/>
</calcChain>
</file>

<file path=xl/sharedStrings.xml><?xml version="1.0" encoding="utf-8"?>
<sst xmlns="http://schemas.openxmlformats.org/spreadsheetml/2006/main" count="646" uniqueCount="318">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</sst>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0.00_);[Red]\(&quot;$&quot;#,##0.00\)"/>
    <numFmt numFmtId="164" formatCode="mm/dd/yy;@"/>
    <numFmt numFmtId="165" formatCode="[$-409]h:mm\ AM/PM;@"/>
    <numFmt numFmtId="166" formatCode="[$-409]h:mm:ss\ AM/PM;@"/>
    <numFmt numFmtId="171" formatCode="h:mm;@"/>
  </numFmts>
  <fonts count="37"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4" fillId="0" borderId="0" applyFill="0" applyBorder="0">
      <alignment wrapText="1"/>
    </xf>
    <xf numFmtId="0" fontId="5" fillId="0" borderId="0"/>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8" fillId="3" borderId="0" applyNumberFormat="0" applyBorder="0" applyProtection="0"/>
    <xf numFmtId="0" fontId="5" fillId="4" borderId="0"/>
    <xf numFmtId="0" fontId="5" fillId="5" borderId="1"/>
    <xf numFmtId="0" fontId="5" fillId="4" borderId="2"/>
    <xf numFmtId="0" fontId="3" fillId="0" borderId="0"/>
    <xf numFmtId="0" fontId="3" fillId="4" borderId="0"/>
    <xf numFmtId="0" fontId="3" fillId="5" borderId="1"/>
    <xf numFmtId="0" fontId="3" fillId="4" borderId="2"/>
    <xf numFmtId="0" fontId="2" fillId="0" borderId="0"/>
    <xf numFmtId="0" fontId="23" fillId="0" borderId="0" applyNumberFormat="0" applyFill="0" applyBorder="0" applyAlignment="0" applyProtection="0"/>
    <xf numFmtId="0" fontId="1" fillId="4" borderId="0"/>
    <xf numFmtId="0" fontId="1" fillId="5" borderId="1"/>
    <xf numFmtId="0" fontId="1" fillId="4" borderId="2"/>
  </cellStyleXfs>
  <cellXfs count="137">
    <xf numFmtId="0" fontId="0" fillId="0" borderId="0" xfId="0"/>
    <xf numFmtId="0" fontId="5" fillId="0" borderId="0" xfId="2"/>
    <xf numFmtId="0" fontId="7" fillId="2" borderId="0" xfId="4">
      <alignment horizontal="left" wrapText="1" indent="4"/>
    </xf>
    <xf numFmtId="0" fontId="4" fillId="2" borderId="0" xfId="5">
      <alignment horizontal="left" wrapText="1" indent="4"/>
    </xf>
    <xf numFmtId="0" fontId="5" fillId="0" borderId="0" xfId="2" applyAlignment="1">
      <alignment horizontal="left"/>
    </xf>
    <xf numFmtId="0" fontId="9" fillId="0" borderId="0" xfId="0" applyFont="1"/>
    <xf numFmtId="0" fontId="9" fillId="0" borderId="0" xfId="0" applyFont="1" applyAlignment="1">
      <alignment horizontal="left" indent="1"/>
    </xf>
    <xf numFmtId="0" fontId="8" fillId="3" borderId="0" xfId="7"/>
    <xf numFmtId="0" fontId="8" fillId="3" borderId="0" xfId="7" applyAlignment="1">
      <alignment horizontal="right"/>
    </xf>
    <xf numFmtId="0" fontId="8" fillId="0" borderId="0" xfId="6"/>
    <xf numFmtId="0" fontId="10" fillId="0" borderId="0" xfId="2" applyFont="1" applyAlignment="1">
      <alignment horizontal="left"/>
    </xf>
    <xf numFmtId="0" fontId="8" fillId="3" borderId="0" xfId="7" applyAlignment="1">
      <alignment horizontal="left"/>
    </xf>
    <xf numFmtId="14" fontId="0" fillId="0" borderId="0" xfId="0" applyNumberFormat="1"/>
    <xf numFmtId="0" fontId="3" fillId="4" borderId="0" xfId="12"/>
    <xf numFmtId="0" fontId="11" fillId="0" borderId="0" xfId="2" applyFont="1"/>
    <xf numFmtId="0" fontId="11" fillId="0" borderId="0" xfId="2" applyFont="1" applyAlignment="1">
      <alignment wrapText="1"/>
    </xf>
    <xf numFmtId="0" fontId="11" fillId="0" borderId="0" xfId="0" applyFont="1"/>
    <xf numFmtId="0" fontId="11" fillId="0" borderId="0" xfId="2" applyFont="1" applyAlignment="1">
      <alignment horizontal="left"/>
    </xf>
    <xf numFmtId="0" fontId="11" fillId="0" borderId="0" xfId="6" applyFont="1"/>
    <xf numFmtId="0" fontId="12" fillId="0" borderId="0" xfId="0" applyFont="1"/>
    <xf numFmtId="0" fontId="13" fillId="0" borderId="0" xfId="2" applyFont="1"/>
    <xf numFmtId="0" fontId="15" fillId="0" borderId="0" xfId="0" applyFont="1"/>
    <xf numFmtId="0" fontId="13" fillId="0" borderId="0" xfId="2" applyFont="1" applyAlignment="1">
      <alignment horizontal="left"/>
    </xf>
    <xf numFmtId="0" fontId="16" fillId="0" borderId="0" xfId="0" applyFont="1"/>
    <xf numFmtId="0" fontId="14" fillId="0" borderId="0" xfId="6" applyFont="1"/>
    <xf numFmtId="0" fontId="10" fillId="0" borderId="0" xfId="2" applyFont="1" applyAlignment="1">
      <alignment horizontal="right"/>
    </xf>
    <xf numFmtId="0" fontId="8" fillId="0" borderId="0" xfId="2" applyFont="1" applyAlignment="1">
      <alignment horizontal="left"/>
    </xf>
    <xf numFmtId="0" fontId="18" fillId="0" borderId="0" xfId="2" applyFont="1" applyAlignment="1">
      <alignment horizontal="left"/>
    </xf>
    <xf numFmtId="0" fontId="19" fillId="0" borderId="0" xfId="0" applyFont="1"/>
    <xf numFmtId="0" fontId="17" fillId="0" borderId="0" xfId="0" applyFont="1"/>
    <xf numFmtId="0" fontId="17" fillId="0" borderId="0" xfId="0" quotePrefix="1" applyFont="1"/>
    <xf numFmtId="0" fontId="17" fillId="0" borderId="0" xfId="0" applyFont="1" applyAlignment="1">
      <alignment wrapText="1"/>
    </xf>
    <xf numFmtId="0" fontId="20" fillId="3" borderId="0" xfId="7" applyFont="1" applyAlignment="1">
      <alignment horizontal="centerContinuous"/>
    </xf>
    <xf numFmtId="0" fontId="20" fillId="3" borderId="0" xfId="7" applyFont="1" applyAlignment="1">
      <alignment horizontal="left"/>
    </xf>
    <xf numFmtId="0" fontId="20" fillId="3" borderId="0" xfId="7" applyFont="1" applyAlignment="1">
      <alignment horizontal="right"/>
    </xf>
    <xf numFmtId="0" fontId="20"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5" fillId="5" borderId="1" xfId="9" applyNumberFormat="1" applyAlignment="1">
      <alignment vertical="center"/>
    </xf>
    <xf numFmtId="0" fontId="20" fillId="3" borderId="0" xfId="7" applyFont="1"/>
    <xf numFmtId="0" fontId="2" fillId="0" borderId="0" xfId="15"/>
    <xf numFmtId="0" fontId="21" fillId="0" borderId="0" xfId="15" applyFont="1"/>
    <xf numFmtId="0" fontId="22" fillId="0" borderId="0" xfId="15" applyFont="1"/>
    <xf numFmtId="0" fontId="22" fillId="0" borderId="0" xfId="15" applyFont="1" applyAlignment="1">
      <alignment vertical="center"/>
    </xf>
    <xf numFmtId="0" fontId="8" fillId="0" borderId="0" xfId="6" applyAlignment="1">
      <alignment wrapText="1"/>
    </xf>
    <xf numFmtId="0" fontId="2" fillId="0" borderId="0" xfId="2" applyFont="1"/>
    <xf numFmtId="0" fontId="2" fillId="0" borderId="0" xfId="2" applyFont="1" applyAlignment="1">
      <alignment horizontal="left"/>
    </xf>
    <xf numFmtId="0" fontId="2" fillId="0" borderId="0" xfId="2" applyFont="1" applyAlignment="1">
      <alignment horizontal="right"/>
    </xf>
    <xf numFmtId="0" fontId="2" fillId="4" borderId="0" xfId="8" applyFont="1"/>
    <xf numFmtId="0" fontId="2" fillId="4" borderId="0" xfId="8" applyFont="1" applyAlignment="1">
      <alignment horizontal="right"/>
    </xf>
    <xf numFmtId="0" fontId="2" fillId="5" borderId="1" xfId="9" applyFont="1" applyAlignment="1">
      <alignment horizontal="right"/>
    </xf>
    <xf numFmtId="0" fontId="9" fillId="0" borderId="0" xfId="0" applyFont="1" applyAlignment="1">
      <alignment horizontal="center"/>
    </xf>
    <xf numFmtId="0" fontId="2" fillId="0" borderId="0" xfId="2" applyFont="1" applyAlignment="1">
      <alignment horizontal="left" indent="1"/>
    </xf>
    <xf numFmtId="0" fontId="9" fillId="0" borderId="0" xfId="0" applyFont="1" applyAlignment="1">
      <alignment horizontal="left" indent="2"/>
    </xf>
    <xf numFmtId="0" fontId="2" fillId="4" borderId="2" xfId="10" applyFont="1"/>
    <xf numFmtId="0" fontId="2" fillId="5" borderId="1" xfId="9" applyFont="1" applyAlignment="1">
      <alignment horizontal="right" vertical="center"/>
    </xf>
    <xf numFmtId="0" fontId="2" fillId="0" borderId="0" xfId="2" applyFont="1" applyAlignment="1">
      <alignment horizontal="center"/>
    </xf>
    <xf numFmtId="0" fontId="2" fillId="0" borderId="0" xfId="2" quotePrefix="1" applyFont="1" applyAlignment="1">
      <alignment horizontal="left"/>
    </xf>
    <xf numFmtId="0" fontId="2" fillId="0" borderId="0" xfId="2" applyFont="1" applyAlignment="1">
      <alignment horizontal="left" indent="2"/>
    </xf>
    <xf numFmtId="0" fontId="2" fillId="0" borderId="0" xfId="11" applyFont="1" applyAlignment="1">
      <alignment horizontal="left" indent="1"/>
    </xf>
    <xf numFmtId="0" fontId="2" fillId="4" borderId="2" xfId="14" applyFont="1"/>
    <xf numFmtId="0" fontId="2" fillId="4" borderId="2" xfId="10" applyFont="1" applyAlignment="1">
      <alignment horizontal="center" vertical="center"/>
    </xf>
    <xf numFmtId="0" fontId="2" fillId="4" borderId="2" xfId="10" applyFont="1" applyAlignment="1">
      <alignment horizontal="left"/>
    </xf>
    <xf numFmtId="0" fontId="5" fillId="5" borderId="1" xfId="9"/>
    <xf numFmtId="0" fontId="0" fillId="0" borderId="3" xfId="0" applyBorder="1" applyAlignment="1">
      <alignment vertical="center"/>
    </xf>
    <xf numFmtId="8" fontId="0" fillId="0" borderId="3" xfId="0" applyNumberFormat="1" applyBorder="1" applyAlignment="1">
      <alignment vertical="center"/>
    </xf>
    <xf numFmtId="0" fontId="1" fillId="5" borderId="1" xfId="18"/>
    <xf numFmtId="0" fontId="24" fillId="0" borderId="0" xfId="0" applyFont="1"/>
    <xf numFmtId="0" fontId="1" fillId="4" borderId="0" xfId="17"/>
    <xf numFmtId="0" fontId="23" fillId="0" borderId="0" xfId="16"/>
    <xf numFmtId="0" fontId="25" fillId="2" borderId="0" xfId="3" applyFont="1">
      <alignment horizontal="left" indent="1"/>
    </xf>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6" fillId="0" borderId="0" xfId="0" applyFont="1" applyAlignment="1">
      <alignment horizontal="centerContinuous" vertical="center"/>
    </xf>
    <xf numFmtId="0" fontId="16" fillId="0" borderId="0" xfId="0" applyFont="1" applyAlignment="1">
      <alignment horizontal="centerContinuous"/>
    </xf>
    <xf numFmtId="0" fontId="8" fillId="3" borderId="0" xfId="7" applyAlignment="1">
      <alignment horizontal="center" vertical="center"/>
    </xf>
    <xf numFmtId="0" fontId="27" fillId="0" borderId="0" xfId="6" applyFont="1"/>
    <xf numFmtId="0" fontId="28" fillId="0" borderId="0" xfId="11" applyFont="1"/>
    <xf numFmtId="0" fontId="29" fillId="0" borderId="0" xfId="0" applyFont="1" applyAlignment="1">
      <alignment horizontal="centerContinuous" vertical="center"/>
    </xf>
    <xf numFmtId="0" fontId="30" fillId="0" borderId="0" xfId="11" applyFont="1" applyAlignment="1">
      <alignment horizontal="centerContinuous"/>
    </xf>
    <xf numFmtId="0" fontId="30" fillId="0" borderId="0" xfId="11" applyFont="1"/>
    <xf numFmtId="0" fontId="27" fillId="3" borderId="0" xfId="7" applyFont="1"/>
    <xf numFmtId="0" fontId="27" fillId="3" borderId="0" xfId="7" applyFont="1" applyAlignment="1">
      <alignment horizontal="right"/>
    </xf>
    <xf numFmtId="0" fontId="31" fillId="0" borderId="0" xfId="11" applyFont="1"/>
    <xf numFmtId="0" fontId="30" fillId="0" borderId="0" xfId="11" applyFont="1" applyAlignment="1">
      <alignment horizontal="left"/>
    </xf>
    <xf numFmtId="0" fontId="31" fillId="0" borderId="0" xfId="11" applyFont="1" applyAlignment="1">
      <alignment horizontal="left"/>
    </xf>
    <xf numFmtId="0" fontId="32" fillId="0" borderId="0" xfId="0" applyFont="1"/>
    <xf numFmtId="0" fontId="33" fillId="0" borderId="0" xfId="0" applyFont="1"/>
    <xf numFmtId="0" fontId="30" fillId="4" borderId="2" xfId="14" applyFont="1"/>
    <xf numFmtId="0" fontId="30" fillId="5" borderId="1" xfId="13" applyFont="1" applyAlignment="1">
      <alignment horizontal="right"/>
    </xf>
    <xf numFmtId="0" fontId="2" fillId="0" borderId="0" xfId="2" applyFont="1" applyAlignment="1">
      <alignment horizontal="centerContinuous"/>
    </xf>
    <xf numFmtId="0" fontId="0" fillId="0" borderId="0" xfId="0" applyAlignment="1">
      <alignment horizontal="centerContinuous"/>
    </xf>
    <xf numFmtId="0" fontId="8" fillId="0" borderId="0" xfId="6" applyAlignment="1">
      <alignment horizontal="centerContinuous"/>
    </xf>
    <xf numFmtId="0" fontId="5" fillId="4" borderId="2" xfId="10"/>
    <xf numFmtId="0" fontId="1"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8" fillId="0" borderId="0" xfId="2" applyFont="1" applyAlignment="1">
      <alignment horizontal="left" wrapText="1"/>
    </xf>
    <xf numFmtId="0" fontId="11" fillId="0" borderId="0" xfId="0" applyFont="1" applyAlignment="1">
      <alignment wrapText="1"/>
    </xf>
    <xf numFmtId="0" fontId="11" fillId="0" borderId="0" xfId="2" applyFont="1" applyAlignment="1">
      <alignment horizontal="left" wrapText="1"/>
    </xf>
    <xf numFmtId="0" fontId="35" fillId="0" borderId="0" xfId="0" applyFont="1"/>
    <xf numFmtId="0" fontId="29" fillId="0" borderId="0" xfId="0" applyFont="1" applyAlignment="1">
      <alignment horizontal="center" vertical="center"/>
    </xf>
    <xf numFmtId="0" fontId="2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5" fillId="4" borderId="6" xfId="8" applyBorder="1"/>
    <xf numFmtId="0" fontId="3" fillId="4" borderId="2" xfId="14"/>
    <xf numFmtId="0" fontId="30" fillId="5" borderId="7" xfId="13" applyFont="1" applyBorder="1"/>
    <xf numFmtId="0" fontId="30" fillId="4" borderId="6" xfId="12" applyFont="1" applyBorder="1"/>
    <xf numFmtId="0" fontId="30" fillId="4" borderId="8" xfId="12" applyFont="1" applyBorder="1"/>
    <xf numFmtId="0" fontId="3" fillId="5" borderId="10" xfId="13" applyBorder="1"/>
    <xf numFmtId="0" fontId="2" fillId="5" borderId="7" xfId="9" applyFont="1" applyBorder="1" applyAlignment="1">
      <alignment horizontal="right"/>
    </xf>
    <xf numFmtId="0" fontId="2" fillId="4" borderId="6" xfId="8" applyFont="1" applyBorder="1"/>
    <xf numFmtId="0" fontId="2" fillId="4" borderId="6" xfId="8" applyFont="1" applyBorder="1" applyAlignment="1">
      <alignment horizontal="right"/>
    </xf>
    <xf numFmtId="0" fontId="2" fillId="4" borderId="6" xfId="8" applyFont="1" applyBorder="1" applyAlignment="1">
      <alignment horizontal="left"/>
    </xf>
    <xf numFmtId="164" fontId="2" fillId="5" borderId="10" xfId="9" applyNumberFormat="1" applyFont="1" applyBorder="1" applyAlignment="1">
      <alignment horizontal="right"/>
    </xf>
    <xf numFmtId="0" fontId="5" fillId="4" borderId="11" xfId="10" applyBorder="1"/>
    <xf numFmtId="0" fontId="5" fillId="5" borderId="10" xfId="9" applyBorder="1"/>
    <xf numFmtId="164" fontId="5" fillId="4" borderId="11" xfId="10" applyNumberFormat="1" applyBorder="1"/>
    <xf numFmtId="166" fontId="2" fillId="5" borderId="10" xfId="9" applyNumberFormat="1" applyFont="1" applyBorder="1" applyAlignment="1">
      <alignment horizontal="right"/>
    </xf>
    <xf numFmtId="165" fontId="5" fillId="5" borderId="10" xfId="9" applyNumberFormat="1" applyBorder="1"/>
    <xf numFmtId="0" fontId="1" fillId="4" borderId="6" xfId="8" applyFont="1" applyBorder="1"/>
    <xf numFmtId="164" fontId="5" fillId="4" borderId="6" xfId="8" applyNumberFormat="1" applyBorder="1"/>
    <xf numFmtId="165" fontId="5" fillId="4" borderId="6" xfId="8" applyNumberFormat="1" applyBorder="1"/>
    <xf numFmtId="165" fontId="2" fillId="5" borderId="10" xfId="9" applyNumberFormat="1" applyFont="1" applyBorder="1" applyAlignment="1">
      <alignment horizontal="right"/>
    </xf>
    <xf numFmtId="0" fontId="5" fillId="4" borderId="1" xfId="8" applyBorder="1"/>
    <xf numFmtId="0" fontId="10" fillId="0" borderId="9" xfId="11" applyFont="1" applyBorder="1" applyAlignment="1">
      <alignment horizontal="left"/>
    </xf>
    <xf numFmtId="0" fontId="30" fillId="5" borderId="1" xfId="13" applyFont="1"/>
    <xf numFmtId="0" fontId="8" fillId="0" borderId="0" xfId="11" applyFont="1" applyAlignment="1">
      <alignment horizontal="left" wrapText="1"/>
    </xf>
    <xf numFmtId="14" fontId="30" fillId="0" borderId="0" xfId="11" applyNumberFormat="1" applyFont="1"/>
    <xf numFmtId="0" fontId="5" fillId="4" borderId="11" xfId="10" applyNumberFormat="1" applyBorder="1"/>
    <xf numFmtId="171" fontId="0" fillId="0" borderId="0" xfId="0" applyNumberFormat="1"/>
    <xf numFmtId="0" fontId="36" fillId="0" borderId="0" xfId="0" applyFont="1"/>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8116" y="354965"/>
          <a:ext cx="5764403" cy="443484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611175" y="1844039"/>
          <a:ext cx="2392679" cy="112331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4965" y="10777854"/>
          <a:ext cx="5770753" cy="266382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9136" y="11352395"/>
          <a:ext cx="2802307" cy="36126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9136" y="11724455"/>
          <a:ext cx="282864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9136" y="12105203"/>
          <a:ext cx="2739504" cy="36888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6239" y="12484092"/>
          <a:ext cx="2987036" cy="36939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8304" y="12849852"/>
          <a:ext cx="2457048" cy="36939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76353" y="1323163"/>
          <a:ext cx="2689899" cy="155719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715026" y="5595854"/>
          <a:ext cx="3922174" cy="184883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1</xdr:col>
      <xdr:colOff>5638057</xdr:colOff>
      <xdr:row>30</xdr:row>
      <xdr:rowOff>6379</xdr:rowOff>
    </xdr:from>
    <xdr:to>
      <xdr:col>2</xdr:col>
      <xdr:colOff>257487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59308" y="6233666"/>
          <a:ext cx="115991" cy="5392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538856</xdr:colOff>
      <xdr:row>30</xdr:row>
      <xdr:rowOff>6379</xdr:rowOff>
    </xdr:from>
    <xdr:to>
      <xdr:col>2</xdr:col>
      <xdr:colOff>1073113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205190" y="7496646"/>
          <a:ext cx="4051366" cy="156851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205191" y="9278792"/>
          <a:ext cx="6563321" cy="205976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4605"/>
          <a:ext cx="5770753" cy="350075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751320" y="10294616"/>
          <a:ext cx="3733799" cy="177101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558330" y="6979920"/>
          <a:ext cx="336252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391014" y="3456306"/>
          <a:ext cx="2894329" cy="139445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8349" y="4789810"/>
          <a:ext cx="577075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39277" y="8442961"/>
          <a:ext cx="3238916" cy="184186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96523" y="11125201"/>
          <a:ext cx="2971800" cy="139228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3694"/>
          <a:ext cx="5772785" cy="436767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387842" y="3441065"/>
          <a:ext cx="2948938" cy="138556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7660" y="3783966"/>
          <a:ext cx="5727065"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28879"/>
          <a:ext cx="2902789" cy="36288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9670"/>
          <a:ext cx="2930094" cy="36057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099253"/>
          <a:ext cx="2509359" cy="36288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8980" y="5491148"/>
          <a:ext cx="2536412" cy="35295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2105" y="354965"/>
          <a:ext cx="571817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619105" y="861060"/>
          <a:ext cx="270064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1774"/>
          <a:ext cx="5251517" cy="59810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0710" y="1965974"/>
          <a:ext cx="5259143" cy="55112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0705" y="2476499"/>
          <a:ext cx="5304862" cy="59366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5760" y="3832861"/>
          <a:ext cx="5727065" cy="206502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401904"/>
          <a:ext cx="2902789" cy="35399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30094" cy="36184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7080" y="5186348"/>
          <a:ext cx="2536412" cy="35295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437120" y="3581400"/>
          <a:ext cx="3433445" cy="185312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5</xdr:col>
      <xdr:colOff>542925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769100" y="3049918"/>
          <a:ext cx="3717925" cy="143318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68975" cy="372427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123825</xdr:rowOff>
    </xdr:from>
    <xdr:to>
      <xdr:col>1</xdr:col>
      <xdr:colOff>5229225</xdr:colOff>
      <xdr:row>60</xdr:row>
      <xdr:rowOff>67767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62425"/>
          <a:ext cx="5768975" cy="789414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98059</xdr:rowOff>
    </xdr:from>
    <xdr:to>
      <xdr:col>5</xdr:col>
      <xdr:colOff>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69050" y="10061209"/>
          <a:ext cx="3575050" cy="140371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161925</xdr:rowOff>
    </xdr:from>
    <xdr:to>
      <xdr:col>1</xdr:col>
      <xdr:colOff>5228463</xdr:colOff>
      <xdr:row>73</xdr:row>
      <xdr:rowOff>161925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150725"/>
          <a:ext cx="5768213" cy="239395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16594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741994"/>
          <a:ext cx="2901519" cy="35399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51141</xdr:rowOff>
    </xdr:from>
    <xdr:to>
      <xdr:col>1</xdr:col>
      <xdr:colOff>2619375</xdr:colOff>
      <xdr:row>68</xdr:row>
      <xdr:rowOff>34530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144841"/>
          <a:ext cx="2930094" cy="35168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70</xdr:row>
      <xdr:rowOff>165403</xdr:rowOff>
    </xdr:from>
    <xdr:to>
      <xdr:col>1</xdr:col>
      <xdr:colOff>2240842</xdr:colOff>
      <xdr:row>72</xdr:row>
      <xdr:rowOff>148792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995703"/>
          <a:ext cx="2538952" cy="35168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68</xdr:row>
      <xdr:rowOff>90998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552998"/>
          <a:ext cx="2930094" cy="35168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50633</xdr:colOff>
      <xdr:row>6</xdr:row>
      <xdr:rowOff>120354</xdr:rowOff>
    </xdr:from>
    <xdr:to>
      <xdr:col>10</xdr:col>
      <xdr:colOff>164041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385133" y="2057104"/>
          <a:ext cx="3961508" cy="136554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79975"/>
          <a:ext cx="5768975" cy="43719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35712" y="8251825"/>
          <a:ext cx="3707341" cy="165840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337674"/>
          <a:ext cx="5768213" cy="199707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90301"/>
          <a:ext cx="2920311" cy="3439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79817"/>
          <a:ext cx="2949073" cy="3439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74667"/>
          <a:ext cx="2555366" cy="34391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68975" cy="443865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864600" y="6721475"/>
          <a:ext cx="3340099" cy="136525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68975" cy="446819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7093943" y="3183138"/>
          <a:ext cx="3786793" cy="136346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59525" y="8366125"/>
          <a:ext cx="3930650" cy="92217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966451" y="6478299"/>
          <a:ext cx="3476623" cy="165750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52</xdr:row>
      <xdr:rowOff>184149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905374"/>
          <a:ext cx="5768975" cy="554672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556875"/>
          <a:ext cx="5768213" cy="230822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1078294"/>
          <a:ext cx="2901519" cy="34637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440660"/>
          <a:ext cx="2930094" cy="35168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208178"/>
          <a:ext cx="2551561" cy="35168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808336"/>
          <a:ext cx="2930094" cy="35168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6455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6455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6821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90151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31109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5156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3009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51111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6897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8035926" y="8839208"/>
          <a:ext cx="4067175"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8266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570709" y="4829174"/>
          <a:ext cx="409372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815175" y="14668500"/>
          <a:ext cx="3463925" cy="179216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5079326"/>
          <a:ext cx="5759450" cy="37961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64551" cy="59620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957134</xdr:colOff>
      <xdr:row>148</xdr:row>
      <xdr:rowOff>11076</xdr:rowOff>
    </xdr:from>
    <xdr:to>
      <xdr:col>1</xdr:col>
      <xdr:colOff>3715357</xdr:colOff>
      <xdr:row>150</xdr:row>
      <xdr:rowOff>176739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181654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135</xdr:row>
      <xdr:rowOff>2259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181654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135</xdr:row>
      <xdr:rowOff>2259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145</xdr:row>
      <xdr:rowOff>183241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64551"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114299</xdr:rowOff>
    </xdr:from>
    <xdr:to>
      <xdr:col>1</xdr:col>
      <xdr:colOff>5238749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9" y="21456649"/>
          <a:ext cx="5759450" cy="364352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329351" y="3964967"/>
          <a:ext cx="434854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8267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73725" cy="267335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916400"/>
          <a:ext cx="5768975" cy="447190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706100"/>
          <a:ext cx="5255026" cy="57715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020675"/>
          <a:ext cx="5255026" cy="57715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73150" y="11055350"/>
          <a:ext cx="3971925" cy="18859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41407"/>
          <a:ext cx="5434423" cy="18721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280275" y="2479675"/>
          <a:ext cx="2552700" cy="165630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58025"/>
          <a:ext cx="5774563" cy="230822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98494"/>
          <a:ext cx="2907869" cy="34637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60860"/>
          <a:ext cx="2936444" cy="35168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728378"/>
          <a:ext cx="2557911" cy="35168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328536"/>
          <a:ext cx="2936444" cy="35168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4789"/>
          <a:ext cx="5437187" cy="58668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51114"/>
          <a:ext cx="5237162" cy="58350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52414" y="3647779"/>
          <a:ext cx="7866336" cy="359585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8650"/>
          <a:ext cx="5270901" cy="56445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24413"/>
          <a:ext cx="5270901" cy="57715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112125"/>
          <a:ext cx="5270901" cy="57715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575550" y="7302500"/>
          <a:ext cx="3036357" cy="111991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746875" y="4776507"/>
          <a:ext cx="2600325" cy="81149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712325"/>
          <a:ext cx="5774563" cy="231457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233744"/>
          <a:ext cx="2907869" cy="35272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96110"/>
          <a:ext cx="2936444" cy="35803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63628"/>
          <a:ext cx="2557911" cy="35168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63786"/>
          <a:ext cx="3841318" cy="35803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2106" y="35496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91380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08984375" defaultRowHeight="20.25" customHeight="1" x14ac:dyDescent="0.35"/>
  <cols>
    <col min="1" max="1" width="129.6328125" style="1" customWidth="1"/>
    <col min="2" max="2" width="3.54296875" style="1" customWidth="1"/>
    <col min="3" max="16384" width="11.08984375" style="1"/>
  </cols>
  <sheetData>
    <row r="1" spans="1:1" ht="20.25" customHeight="1" x14ac:dyDescent="1.9">
      <c r="A1" s="70"/>
    </row>
    <row r="2" spans="1:1" ht="102" customHeight="1" x14ac:dyDescent="1.9">
      <c r="A2" s="70" t="s">
        <v>294</v>
      </c>
    </row>
    <row r="3" spans="1:1" ht="44" x14ac:dyDescent="0.5">
      <c r="A3" s="2" t="s">
        <v>293</v>
      </c>
    </row>
    <row r="4" spans="1:1" ht="264" customHeight="1" x14ac:dyDescent="0.35">
      <c r="A4" s="3" t="s">
        <v>0</v>
      </c>
    </row>
    <row r="5" spans="1:1" ht="20.25" customHeight="1" x14ac:dyDescent="0.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A35" zoomScaleNormal="100" workbookViewId="0">
      <selection activeCell="J60" sqref="J60"/>
    </sheetView>
  </sheetViews>
  <sheetFormatPr defaultColWidth="9.08984375" defaultRowHeight="14.5" x14ac:dyDescent="0.35"/>
  <cols>
    <col min="1" max="1" width="12.6328125" style="29" customWidth="1"/>
    <col min="2" max="2" width="82.90625" style="23" customWidth="1"/>
    <col min="3" max="3" width="15.6328125" style="23" bestFit="1" customWidth="1"/>
    <col min="4" max="4" width="2.36328125" style="23" customWidth="1"/>
    <col min="5" max="5" width="18" style="23" bestFit="1" customWidth="1"/>
    <col min="6" max="6" width="15.6328125" style="23" customWidth="1"/>
    <col min="7" max="7" width="13.36328125" style="23" customWidth="1"/>
    <col min="8" max="10" width="9.08984375" style="23"/>
    <col min="11" max="11" width="9.08984375" style="23" customWidth="1"/>
    <col min="12" max="16384" width="9.08984375" style="23"/>
  </cols>
  <sheetData>
    <row r="1" spans="1:7" ht="60" customHeight="1" x14ac:dyDescent="0.35">
      <c r="A1" s="29" t="s">
        <v>130</v>
      </c>
      <c r="C1" s="75"/>
      <c r="D1" s="76"/>
      <c r="E1" s="76"/>
      <c r="F1" s="76"/>
    </row>
    <row r="2" spans="1:7" ht="15" thickBot="1" x14ac:dyDescent="0.4">
      <c r="A2" s="29" t="s">
        <v>131</v>
      </c>
      <c r="C2" s="77" t="s">
        <v>124</v>
      </c>
      <c r="E2" s="7" t="s">
        <v>296</v>
      </c>
      <c r="F2" s="8" t="s">
        <v>295</v>
      </c>
      <c r="G2" s="8" t="s">
        <v>297</v>
      </c>
    </row>
    <row r="3" spans="1:7" ht="15.5" thickTop="1" thickBot="1" x14ac:dyDescent="0.4">
      <c r="A3" s="29" t="s">
        <v>132</v>
      </c>
      <c r="C3" s="95">
        <v>5</v>
      </c>
      <c r="E3" s="108" t="s">
        <v>125</v>
      </c>
      <c r="F3" s="107">
        <f>C3+C4</f>
        <v>7</v>
      </c>
      <c r="G3" s="109">
        <f>C3+C4</f>
        <v>7</v>
      </c>
    </row>
    <row r="4" spans="1:7" ht="15.5" thickTop="1" thickBot="1" x14ac:dyDescent="0.4">
      <c r="A4" s="29" t="s">
        <v>133</v>
      </c>
      <c r="C4" s="95">
        <v>2</v>
      </c>
      <c r="E4" s="108" t="s">
        <v>126</v>
      </c>
      <c r="F4" s="107"/>
      <c r="G4" s="109">
        <f>C3-C4</f>
        <v>3</v>
      </c>
    </row>
    <row r="5" spans="1:7" ht="15" thickTop="1" x14ac:dyDescent="0.35">
      <c r="A5" s="29" t="s">
        <v>134</v>
      </c>
      <c r="E5" s="108" t="s">
        <v>127</v>
      </c>
      <c r="F5" s="107"/>
      <c r="G5" s="109">
        <f>C3*C4</f>
        <v>10</v>
      </c>
    </row>
    <row r="6" spans="1:7" ht="15" thickBot="1" x14ac:dyDescent="0.4">
      <c r="A6" s="29" t="s">
        <v>135</v>
      </c>
      <c r="E6" s="108" t="s">
        <v>128</v>
      </c>
      <c r="F6" s="107"/>
      <c r="G6" s="109">
        <f>C3/C4</f>
        <v>2.5</v>
      </c>
    </row>
    <row r="7" spans="1:7" ht="15" customHeight="1" thickTop="1" thickBot="1" x14ac:dyDescent="0.4">
      <c r="A7" s="29" t="s">
        <v>152</v>
      </c>
      <c r="E7" s="108" t="s">
        <v>129</v>
      </c>
      <c r="F7" s="110">
        <f>C3^C4</f>
        <v>25</v>
      </c>
      <c r="G7" s="109">
        <f>C3^C4</f>
        <v>25</v>
      </c>
    </row>
    <row r="8" spans="1:7" ht="15" thickTop="1" x14ac:dyDescent="0.35">
      <c r="A8" s="29" t="s">
        <v>153</v>
      </c>
    </row>
    <row r="9" spans="1:7" x14ac:dyDescent="0.35">
      <c r="A9" s="29" t="s">
        <v>136</v>
      </c>
    </row>
    <row r="10" spans="1:7" x14ac:dyDescent="0.35">
      <c r="A10" s="29" t="s">
        <v>137</v>
      </c>
    </row>
    <row r="11" spans="1:7" x14ac:dyDescent="0.35">
      <c r="A11" s="29" t="s">
        <v>138</v>
      </c>
    </row>
    <row r="12" spans="1:7" x14ac:dyDescent="0.35">
      <c r="A12" s="29" t="s">
        <v>139</v>
      </c>
    </row>
    <row r="13" spans="1:7" ht="15" customHeight="1" x14ac:dyDescent="0.35">
      <c r="A13" s="31" t="s">
        <v>312</v>
      </c>
    </row>
    <row r="14" spans="1:7" x14ac:dyDescent="0.35">
      <c r="A14" s="29" t="s">
        <v>140</v>
      </c>
    </row>
    <row r="15" spans="1:7" x14ac:dyDescent="0.35">
      <c r="A15" s="29" t="s">
        <v>141</v>
      </c>
    </row>
    <row r="16" spans="1:7" x14ac:dyDescent="0.35">
      <c r="A16" s="29" t="s">
        <v>142</v>
      </c>
    </row>
    <row r="17" spans="1:7" x14ac:dyDescent="0.35">
      <c r="A17" s="29" t="s">
        <v>154</v>
      </c>
    </row>
    <row r="18" spans="1:7" x14ac:dyDescent="0.35">
      <c r="A18" s="29" t="s">
        <v>143</v>
      </c>
    </row>
    <row r="19" spans="1:7" x14ac:dyDescent="0.35">
      <c r="A19" s="29" t="s">
        <v>144</v>
      </c>
    </row>
    <row r="20" spans="1:7" x14ac:dyDescent="0.35">
      <c r="A20" s="29" t="s">
        <v>145</v>
      </c>
    </row>
    <row r="21" spans="1:7" ht="15" customHeight="1" x14ac:dyDescent="0.35">
      <c r="A21" s="31" t="s">
        <v>291</v>
      </c>
    </row>
    <row r="22" spans="1:7" x14ac:dyDescent="0.35">
      <c r="A22" s="29" t="s">
        <v>146</v>
      </c>
    </row>
    <row r="23" spans="1:7" x14ac:dyDescent="0.35">
      <c r="A23" s="29" t="s">
        <v>147</v>
      </c>
    </row>
    <row r="24" spans="1:7" x14ac:dyDescent="0.35">
      <c r="A24" s="29" t="s">
        <v>30</v>
      </c>
    </row>
    <row r="25" spans="1:7" ht="32.5" x14ac:dyDescent="0.35">
      <c r="A25" s="29" t="s">
        <v>148</v>
      </c>
      <c r="C25" s="75"/>
      <c r="D25" s="76"/>
      <c r="E25" s="76"/>
      <c r="F25" s="76"/>
      <c r="G25" s="76"/>
    </row>
    <row r="26" spans="1:7" x14ac:dyDescent="0.35">
      <c r="A26" s="29" t="s">
        <v>149</v>
      </c>
    </row>
    <row r="27" spans="1:7" x14ac:dyDescent="0.35">
      <c r="A27" s="29" t="s">
        <v>150</v>
      </c>
    </row>
    <row r="28" spans="1:7" ht="26" x14ac:dyDescent="0.6">
      <c r="A28" s="29" t="s">
        <v>151</v>
      </c>
      <c r="E28" s="67"/>
    </row>
    <row r="29" spans="1:7" x14ac:dyDescent="0.35">
      <c r="A29" s="29" t="s">
        <v>33</v>
      </c>
    </row>
    <row r="40" spans="10:14" x14ac:dyDescent="0.35">
      <c r="J40" s="8" t="s">
        <v>81</v>
      </c>
    </row>
    <row r="41" spans="10:14" x14ac:dyDescent="0.35">
      <c r="J41" s="68">
        <v>4</v>
      </c>
    </row>
    <row r="42" spans="10:14" x14ac:dyDescent="0.35">
      <c r="J42" s="68">
        <v>8</v>
      </c>
    </row>
    <row r="43" spans="10:14" x14ac:dyDescent="0.35">
      <c r="J43" s="66">
        <f>SUM(J41:J42)</f>
        <v>12</v>
      </c>
      <c r="N43"/>
    </row>
    <row r="46" spans="10:14" x14ac:dyDescent="0.35">
      <c r="L46"/>
      <c r="M46"/>
    </row>
    <row r="64" spans="7:7" x14ac:dyDescent="0.35">
      <c r="G64" s="69"/>
    </row>
    <row r="65" spans="7:7" x14ac:dyDescent="0.35">
      <c r="G65" s="69"/>
    </row>
    <row r="66" spans="7:7" x14ac:dyDescent="0.35">
      <c r="G66" s="69"/>
    </row>
    <row r="67" spans="7:7" x14ac:dyDescent="0.35">
      <c r="G67" s="69"/>
    </row>
    <row r="86" ht="17.399999999999999" customHeight="1" x14ac:dyDescent="0.3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I3" sqref="I3"/>
    </sheetView>
  </sheetViews>
  <sheetFormatPr defaultColWidth="8.90625" defaultRowHeight="15" customHeight="1" x14ac:dyDescent="0.35"/>
  <cols>
    <col min="1" max="1" width="12.6328125" style="78" customWidth="1"/>
    <col min="2" max="2" width="82.90625" style="82" customWidth="1"/>
    <col min="3" max="4" width="13.36328125" style="82" customWidth="1"/>
    <col min="5" max="5" width="2.36328125" style="82" customWidth="1"/>
    <col min="6" max="6" width="16" style="82" bestFit="1" customWidth="1"/>
    <col min="7" max="7" width="13.36328125" style="82" customWidth="1"/>
    <col min="8" max="8" width="8.90625" style="82"/>
    <col min="9" max="9" width="9.54296875" style="82" bestFit="1" customWidth="1"/>
    <col min="10" max="16384" width="8.90625" style="82"/>
  </cols>
  <sheetData>
    <row r="1" spans="1:13" ht="60" customHeight="1" x14ac:dyDescent="0.75">
      <c r="A1" s="9" t="s">
        <v>155</v>
      </c>
      <c r="B1" s="79"/>
      <c r="C1" s="80"/>
      <c r="D1" s="81"/>
      <c r="E1" s="81"/>
      <c r="F1" s="81"/>
      <c r="G1" s="81"/>
    </row>
    <row r="2" spans="1:13" ht="15" customHeight="1" x14ac:dyDescent="0.35">
      <c r="A2" s="78" t="s">
        <v>156</v>
      </c>
      <c r="C2" s="83" t="s">
        <v>1</v>
      </c>
      <c r="D2" s="84" t="s">
        <v>2</v>
      </c>
      <c r="F2" s="83" t="s">
        <v>3</v>
      </c>
      <c r="G2" s="84" t="s">
        <v>2</v>
      </c>
    </row>
    <row r="3" spans="1:13" ht="15" customHeight="1" x14ac:dyDescent="0.35">
      <c r="A3" s="44" t="s">
        <v>292</v>
      </c>
      <c r="B3" s="85"/>
      <c r="C3" s="112" t="s">
        <v>4</v>
      </c>
      <c r="D3" s="112">
        <v>50</v>
      </c>
      <c r="F3" s="112" t="s">
        <v>5</v>
      </c>
      <c r="G3" s="112">
        <v>50</v>
      </c>
      <c r="I3" s="133"/>
    </row>
    <row r="4" spans="1:13" ht="15" customHeight="1" x14ac:dyDescent="0.35">
      <c r="A4" s="78" t="s">
        <v>157</v>
      </c>
      <c r="C4" s="112" t="s">
        <v>6</v>
      </c>
      <c r="D4" s="112">
        <v>20</v>
      </c>
      <c r="E4" s="86"/>
      <c r="F4" s="112" t="s">
        <v>7</v>
      </c>
      <c r="G4" s="112">
        <v>30</v>
      </c>
    </row>
    <row r="5" spans="1:13" s="86" customFormat="1" ht="15" customHeight="1" x14ac:dyDescent="0.35">
      <c r="A5" s="9" t="s">
        <v>271</v>
      </c>
      <c r="C5" s="112" t="s">
        <v>8</v>
      </c>
      <c r="D5" s="112">
        <v>60</v>
      </c>
      <c r="F5" s="112" t="s">
        <v>9</v>
      </c>
      <c r="G5" s="112">
        <v>10</v>
      </c>
    </row>
    <row r="6" spans="1:13" s="86" customFormat="1" ht="15" customHeight="1" x14ac:dyDescent="0.35">
      <c r="A6" s="78" t="s">
        <v>136</v>
      </c>
      <c r="B6" s="87"/>
      <c r="C6" s="112" t="s">
        <v>10</v>
      </c>
      <c r="D6" s="113">
        <v>40</v>
      </c>
      <c r="F6" s="112" t="s">
        <v>11</v>
      </c>
      <c r="G6" s="113">
        <v>50</v>
      </c>
    </row>
    <row r="7" spans="1:13" s="86" customFormat="1" ht="15" customHeight="1" x14ac:dyDescent="0.35">
      <c r="A7" s="78" t="s">
        <v>158</v>
      </c>
      <c r="C7" s="130" t="s">
        <v>300</v>
      </c>
      <c r="D7" s="114">
        <f>SUM(D3:D6)</f>
        <v>170</v>
      </c>
      <c r="F7" s="130" t="s">
        <v>300</v>
      </c>
      <c r="G7" s="114">
        <f>SUM(G3:G6)</f>
        <v>140</v>
      </c>
      <c r="M7" s="88"/>
    </row>
    <row r="8" spans="1:13" s="86" customFormat="1" ht="15" customHeight="1" x14ac:dyDescent="0.35">
      <c r="A8" s="78" t="s">
        <v>137</v>
      </c>
      <c r="M8" s="88"/>
    </row>
    <row r="9" spans="1:13" s="86" customFormat="1" ht="15" customHeight="1" x14ac:dyDescent="0.35">
      <c r="A9" s="78" t="s">
        <v>159</v>
      </c>
      <c r="C9" s="83" t="s">
        <v>12</v>
      </c>
      <c r="D9" s="84" t="s">
        <v>2</v>
      </c>
      <c r="F9" s="83" t="s">
        <v>12</v>
      </c>
      <c r="G9" s="84" t="s">
        <v>2</v>
      </c>
      <c r="M9" s="88"/>
    </row>
    <row r="10" spans="1:13" s="86" customFormat="1" ht="15" customHeight="1" x14ac:dyDescent="0.45">
      <c r="A10" s="89" t="s">
        <v>160</v>
      </c>
      <c r="C10" s="112" t="s">
        <v>13</v>
      </c>
      <c r="D10" s="112">
        <v>50</v>
      </c>
      <c r="F10" s="112" t="s">
        <v>13</v>
      </c>
      <c r="G10" s="112">
        <v>50</v>
      </c>
      <c r="M10" s="88"/>
    </row>
    <row r="11" spans="1:13" s="86" customFormat="1" ht="15" customHeight="1" x14ac:dyDescent="0.35">
      <c r="A11" s="78" t="s">
        <v>161</v>
      </c>
      <c r="C11" s="112" t="s">
        <v>14</v>
      </c>
      <c r="D11" s="112">
        <v>100</v>
      </c>
      <c r="F11" s="112" t="s">
        <v>14</v>
      </c>
      <c r="G11" s="112">
        <v>100</v>
      </c>
      <c r="M11" s="88"/>
    </row>
    <row r="12" spans="1:13" s="86" customFormat="1" ht="15" customHeight="1" x14ac:dyDescent="0.35">
      <c r="A12" s="78" t="s">
        <v>162</v>
      </c>
      <c r="C12" s="112" t="s">
        <v>15</v>
      </c>
      <c r="D12" s="112">
        <v>40</v>
      </c>
      <c r="F12" s="112" t="s">
        <v>15</v>
      </c>
      <c r="G12" s="112">
        <v>40</v>
      </c>
      <c r="M12" s="88"/>
    </row>
    <row r="13" spans="1:13" s="86" customFormat="1" ht="15" customHeight="1" x14ac:dyDescent="0.35">
      <c r="A13" s="78" t="s">
        <v>163</v>
      </c>
      <c r="C13" s="112" t="s">
        <v>16</v>
      </c>
      <c r="D13" s="112">
        <v>50</v>
      </c>
      <c r="F13" s="112" t="s">
        <v>16</v>
      </c>
      <c r="G13" s="112">
        <v>50</v>
      </c>
      <c r="M13" s="88"/>
    </row>
    <row r="14" spans="1:13" s="86" customFormat="1" ht="15" customHeight="1" thickBot="1" x14ac:dyDescent="0.4">
      <c r="A14" s="132" t="s">
        <v>311</v>
      </c>
      <c r="C14" s="112" t="s">
        <v>17</v>
      </c>
      <c r="D14" s="112">
        <v>20</v>
      </c>
      <c r="F14" s="112" t="s">
        <v>17</v>
      </c>
      <c r="G14" s="112">
        <v>20</v>
      </c>
      <c r="M14" s="88"/>
    </row>
    <row r="15" spans="1:13" s="86" customFormat="1" ht="15" customHeight="1" thickTop="1" thickBot="1" x14ac:dyDescent="0.4">
      <c r="A15" s="78" t="s">
        <v>30</v>
      </c>
      <c r="C15" s="130" t="s">
        <v>300</v>
      </c>
      <c r="D15" s="111"/>
      <c r="F15" s="130" t="s">
        <v>301</v>
      </c>
      <c r="G15" s="90">
        <f>COUNT(G10:G14)</f>
        <v>5</v>
      </c>
      <c r="M15" s="88"/>
    </row>
    <row r="16" spans="1:13" s="86" customFormat="1" ht="15" customHeight="1" thickTop="1" x14ac:dyDescent="0.35">
      <c r="A16" s="78" t="s">
        <v>37</v>
      </c>
      <c r="M16" s="88"/>
    </row>
    <row r="17" spans="1:13" s="86" customFormat="1" ht="15" customHeight="1" x14ac:dyDescent="0.35">
      <c r="A17" s="78" t="s">
        <v>164</v>
      </c>
      <c r="M17" s="88"/>
    </row>
    <row r="18" spans="1:13" s="86" customFormat="1" ht="15" customHeight="1" x14ac:dyDescent="0.35">
      <c r="A18" s="78" t="s">
        <v>36</v>
      </c>
      <c r="M18" s="88"/>
    </row>
    <row r="19" spans="1:13" s="86" customFormat="1" ht="15" customHeight="1" x14ac:dyDescent="0.35">
      <c r="A19" s="78" t="s">
        <v>33</v>
      </c>
      <c r="C19" s="88"/>
      <c r="M19" s="88"/>
    </row>
    <row r="20" spans="1:13" s="86" customFormat="1" ht="15" customHeight="1" x14ac:dyDescent="0.35">
      <c r="A20" s="78" t="s">
        <v>165</v>
      </c>
      <c r="M20" s="88"/>
    </row>
    <row r="21" spans="1:13" s="86" customFormat="1" ht="15" customHeight="1" x14ac:dyDescent="0.35">
      <c r="A21" s="78" t="s">
        <v>137</v>
      </c>
      <c r="M21" s="88"/>
    </row>
    <row r="22" spans="1:13" s="86" customFormat="1" ht="15" customHeight="1" x14ac:dyDescent="0.35">
      <c r="A22" s="78"/>
      <c r="M22" s="88"/>
    </row>
    <row r="23" spans="1:13" s="86" customFormat="1" ht="15" customHeight="1" x14ac:dyDescent="0.35">
      <c r="A23" s="78"/>
    </row>
    <row r="26" spans="1:13" ht="15" customHeight="1" x14ac:dyDescent="0.35">
      <c r="H26" s="88"/>
    </row>
    <row r="34" spans="3:7" ht="15" customHeight="1" x14ac:dyDescent="0.35">
      <c r="C34" s="83" t="s">
        <v>1</v>
      </c>
      <c r="D34" s="84" t="s">
        <v>2</v>
      </c>
    </row>
    <row r="35" spans="3:7" ht="15" customHeight="1" x14ac:dyDescent="0.35">
      <c r="C35" s="112" t="s">
        <v>4</v>
      </c>
      <c r="D35" s="112">
        <v>50</v>
      </c>
      <c r="E35" s="86"/>
    </row>
    <row r="36" spans="3:7" ht="15" customHeight="1" x14ac:dyDescent="0.35">
      <c r="C36" s="112" t="s">
        <v>6</v>
      </c>
      <c r="D36" s="112">
        <v>20</v>
      </c>
      <c r="E36" s="86"/>
    </row>
    <row r="37" spans="3:7" ht="15" customHeight="1" x14ac:dyDescent="0.35">
      <c r="C37" s="112" t="s">
        <v>8</v>
      </c>
      <c r="D37" s="112">
        <v>60</v>
      </c>
      <c r="E37" s="86"/>
    </row>
    <row r="38" spans="3:7" ht="15" customHeight="1" x14ac:dyDescent="0.35">
      <c r="C38" s="112" t="s">
        <v>10</v>
      </c>
      <c r="D38" s="112">
        <v>40</v>
      </c>
      <c r="E38" s="86"/>
    </row>
    <row r="39" spans="3:7" ht="15" customHeight="1" x14ac:dyDescent="0.35">
      <c r="C39" s="130" t="s">
        <v>300</v>
      </c>
      <c r="D39" s="111">
        <f>SUM(D35:D38)</f>
        <v>170</v>
      </c>
      <c r="E39" s="86"/>
      <c r="F39" s="86"/>
      <c r="G39" s="86"/>
    </row>
    <row r="44" spans="3:7" ht="15" customHeight="1" x14ac:dyDescent="0.35">
      <c r="C44" s="83" t="s">
        <v>12</v>
      </c>
      <c r="D44" s="84" t="s">
        <v>2</v>
      </c>
      <c r="E44" s="86"/>
    </row>
    <row r="45" spans="3:7" ht="15" customHeight="1" x14ac:dyDescent="0.35">
      <c r="C45" s="112" t="s">
        <v>25</v>
      </c>
      <c r="D45" s="112">
        <v>20</v>
      </c>
      <c r="E45" s="86"/>
    </row>
    <row r="46" spans="3:7" ht="15" customHeight="1" x14ac:dyDescent="0.35">
      <c r="C46" s="112" t="s">
        <v>26</v>
      </c>
      <c r="D46" s="112">
        <v>10</v>
      </c>
      <c r="E46" s="86"/>
    </row>
    <row r="47" spans="3:7" ht="15" customHeight="1" x14ac:dyDescent="0.35">
      <c r="C47" s="112" t="s">
        <v>27</v>
      </c>
      <c r="D47" s="112">
        <v>10</v>
      </c>
      <c r="E47" s="86"/>
    </row>
    <row r="48" spans="3:7" ht="15" customHeight="1" x14ac:dyDescent="0.35">
      <c r="C48" s="112" t="s">
        <v>28</v>
      </c>
      <c r="D48" s="112">
        <v>40</v>
      </c>
      <c r="E48" s="86"/>
    </row>
    <row r="50" spans="4:7" ht="15" customHeight="1" x14ac:dyDescent="0.35">
      <c r="D50" s="84" t="s">
        <v>29</v>
      </c>
      <c r="F50" s="84" t="s">
        <v>307</v>
      </c>
      <c r="G50" s="84" t="s">
        <v>306</v>
      </c>
    </row>
    <row r="51" spans="4:7" ht="15" customHeight="1" x14ac:dyDescent="0.35">
      <c r="D51" s="91">
        <f>SUM(D45:D48,100)</f>
        <v>180</v>
      </c>
      <c r="F51" s="131">
        <v>100</v>
      </c>
      <c r="G51" s="131">
        <f>SUM(D45:D48,F51)</f>
        <v>180</v>
      </c>
    </row>
    <row r="87" spans="1:1" ht="15" customHeight="1" x14ac:dyDescent="0.35">
      <c r="A87" s="78" t="s">
        <v>33</v>
      </c>
    </row>
    <row r="88" spans="1:1" ht="15" customHeight="1" x14ac:dyDescent="0.35">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G15" sqref="G15"/>
    </sheetView>
  </sheetViews>
  <sheetFormatPr defaultColWidth="8.90625" defaultRowHeight="14.5" x14ac:dyDescent="0.35"/>
  <cols>
    <col min="1" max="1" width="12.6328125" style="14" customWidth="1"/>
    <col min="2" max="2" width="82.90625" style="1" customWidth="1"/>
    <col min="3" max="3" width="13.36328125" style="9" customWidth="1"/>
    <col min="4" max="4" width="13.36328125" style="1" customWidth="1"/>
    <col min="5" max="5" width="2.36328125" style="1" customWidth="1"/>
    <col min="6" max="6" width="13.36328125" style="4" customWidth="1"/>
    <col min="7" max="7" width="13.36328125" style="1" customWidth="1"/>
    <col min="8" max="16384" width="8.90625" style="1"/>
  </cols>
  <sheetData>
    <row r="1" spans="1:10" ht="60" customHeight="1" x14ac:dyDescent="0.35">
      <c r="A1" s="15" t="s">
        <v>166</v>
      </c>
      <c r="B1" s="45"/>
      <c r="C1" s="80"/>
      <c r="D1" s="92"/>
      <c r="E1" s="92"/>
      <c r="F1" s="92"/>
      <c r="G1" s="92"/>
      <c r="H1" s="45"/>
      <c r="I1" s="45"/>
      <c r="J1" s="45"/>
    </row>
    <row r="2" spans="1:10" ht="15" customHeight="1" x14ac:dyDescent="0.45">
      <c r="A2" s="89" t="s">
        <v>175</v>
      </c>
      <c r="B2" s="45"/>
      <c r="C2" s="7" t="s">
        <v>1</v>
      </c>
      <c r="D2" s="8" t="s">
        <v>2</v>
      </c>
      <c r="E2" s="47"/>
      <c r="F2" s="11" t="s">
        <v>3</v>
      </c>
      <c r="G2" s="8" t="s">
        <v>2</v>
      </c>
      <c r="H2" s="45"/>
      <c r="I2" s="45"/>
      <c r="J2" s="5"/>
    </row>
    <row r="3" spans="1:10" ht="15" customHeight="1" x14ac:dyDescent="0.45">
      <c r="A3" s="89" t="s">
        <v>176</v>
      </c>
      <c r="B3" s="45"/>
      <c r="C3" s="116" t="s">
        <v>4</v>
      </c>
      <c r="D3" s="117">
        <v>50</v>
      </c>
      <c r="E3" s="47"/>
      <c r="F3" s="118" t="s">
        <v>5</v>
      </c>
      <c r="G3" s="117">
        <v>50</v>
      </c>
      <c r="H3" s="45"/>
      <c r="I3" s="45"/>
      <c r="J3" s="5"/>
    </row>
    <row r="4" spans="1:10" ht="15" customHeight="1" x14ac:dyDescent="0.45">
      <c r="A4" s="89" t="s">
        <v>177</v>
      </c>
      <c r="B4" s="45"/>
      <c r="C4" s="116" t="s">
        <v>6</v>
      </c>
      <c r="D4" s="117">
        <v>20</v>
      </c>
      <c r="E4" s="47"/>
      <c r="F4" s="118" t="s">
        <v>7</v>
      </c>
      <c r="G4" s="117">
        <v>30</v>
      </c>
      <c r="H4" s="45"/>
      <c r="I4" s="45"/>
      <c r="J4" s="5"/>
    </row>
    <row r="5" spans="1:10" s="4" customFormat="1" ht="15" customHeight="1" x14ac:dyDescent="0.45">
      <c r="A5" s="89" t="s">
        <v>178</v>
      </c>
      <c r="B5" s="46"/>
      <c r="C5" s="116" t="s">
        <v>8</v>
      </c>
      <c r="D5" s="117">
        <v>60</v>
      </c>
      <c r="E5" s="47"/>
      <c r="F5" s="118" t="s">
        <v>9</v>
      </c>
      <c r="G5" s="117">
        <v>10</v>
      </c>
      <c r="H5" s="46"/>
      <c r="I5" s="46"/>
      <c r="J5" s="5"/>
    </row>
    <row r="6" spans="1:10" s="4" customFormat="1" ht="15" customHeight="1" x14ac:dyDescent="0.35">
      <c r="A6" s="99" t="s">
        <v>272</v>
      </c>
      <c r="B6" s="46"/>
      <c r="C6" s="116" t="s">
        <v>10</v>
      </c>
      <c r="D6" s="117">
        <v>40</v>
      </c>
      <c r="E6" s="47"/>
      <c r="F6" s="118" t="s">
        <v>11</v>
      </c>
      <c r="G6" s="117">
        <v>50</v>
      </c>
      <c r="H6" s="46"/>
      <c r="I6" s="46"/>
      <c r="J6" s="5"/>
    </row>
    <row r="7" spans="1:10" s="4" customFormat="1" ht="15" customHeight="1" x14ac:dyDescent="0.45">
      <c r="A7" s="28" t="s">
        <v>167</v>
      </c>
      <c r="B7" s="46"/>
      <c r="C7" s="10" t="s">
        <v>302</v>
      </c>
      <c r="D7" s="115">
        <f>AVERAGE(D3:D6)</f>
        <v>42.5</v>
      </c>
      <c r="E7" s="47"/>
      <c r="F7" s="10" t="s">
        <v>302</v>
      </c>
      <c r="G7" s="115"/>
      <c r="H7" s="46"/>
      <c r="I7" s="46"/>
      <c r="J7" s="5"/>
    </row>
    <row r="8" spans="1:10" s="4" customFormat="1" ht="15" customHeight="1" x14ac:dyDescent="0.35">
      <c r="A8" s="17" t="s">
        <v>168</v>
      </c>
      <c r="B8" s="46"/>
      <c r="C8" s="46"/>
      <c r="D8" s="47"/>
      <c r="E8" s="47"/>
      <c r="F8" s="46"/>
      <c r="G8" s="47"/>
      <c r="H8" s="46"/>
      <c r="I8" s="46"/>
      <c r="J8" s="5"/>
    </row>
    <row r="9" spans="1:10" s="4" customFormat="1" ht="15" customHeight="1" x14ac:dyDescent="0.35">
      <c r="A9" s="99" t="s">
        <v>174</v>
      </c>
      <c r="B9" s="46"/>
      <c r="C9" s="7" t="s">
        <v>12</v>
      </c>
      <c r="D9" s="8" t="s">
        <v>2</v>
      </c>
      <c r="E9" s="47"/>
      <c r="F9" s="11" t="s">
        <v>12</v>
      </c>
      <c r="G9" s="8" t="s">
        <v>2</v>
      </c>
      <c r="H9" s="46"/>
      <c r="I9" s="46"/>
      <c r="J9" s="5"/>
    </row>
    <row r="10" spans="1:10" s="4" customFormat="1" ht="15" customHeight="1" x14ac:dyDescent="0.45">
      <c r="A10" s="28" t="s">
        <v>169</v>
      </c>
      <c r="B10" s="46"/>
      <c r="C10" s="116" t="s">
        <v>13</v>
      </c>
      <c r="D10" s="117">
        <v>50</v>
      </c>
      <c r="E10" s="47"/>
      <c r="F10" s="118" t="s">
        <v>13</v>
      </c>
      <c r="G10" s="117">
        <v>50</v>
      </c>
      <c r="H10" s="46"/>
      <c r="I10" s="46"/>
      <c r="J10" s="5"/>
    </row>
    <row r="11" spans="1:10" s="4" customFormat="1" ht="15" customHeight="1" x14ac:dyDescent="0.35">
      <c r="A11" s="17" t="s">
        <v>170</v>
      </c>
      <c r="B11" s="46"/>
      <c r="C11" s="116" t="s">
        <v>14</v>
      </c>
      <c r="D11" s="117">
        <v>100</v>
      </c>
      <c r="E11" s="47"/>
      <c r="F11" s="118" t="s">
        <v>14</v>
      </c>
      <c r="G11" s="117">
        <v>100</v>
      </c>
      <c r="H11" s="46"/>
      <c r="I11" s="46"/>
      <c r="J11" s="5"/>
    </row>
    <row r="12" spans="1:10" s="4" customFormat="1" ht="15" customHeight="1" x14ac:dyDescent="0.35">
      <c r="A12" s="17" t="s">
        <v>171</v>
      </c>
      <c r="B12" s="46"/>
      <c r="C12" s="116" t="s">
        <v>15</v>
      </c>
      <c r="D12" s="117">
        <v>40</v>
      </c>
      <c r="E12" s="47"/>
      <c r="F12" s="118" t="s">
        <v>15</v>
      </c>
      <c r="G12" s="117">
        <v>40</v>
      </c>
      <c r="H12" s="46"/>
      <c r="I12" s="46"/>
      <c r="J12" s="5"/>
    </row>
    <row r="13" spans="1:10" s="4" customFormat="1" ht="15" customHeight="1" x14ac:dyDescent="0.35">
      <c r="A13" s="17" t="s">
        <v>172</v>
      </c>
      <c r="B13" s="46"/>
      <c r="C13" s="116" t="s">
        <v>16</v>
      </c>
      <c r="D13" s="117">
        <v>50</v>
      </c>
      <c r="E13" s="47"/>
      <c r="F13" s="118" t="s">
        <v>16</v>
      </c>
      <c r="G13" s="117">
        <v>50</v>
      </c>
      <c r="H13" s="46"/>
      <c r="I13" s="46"/>
      <c r="J13" s="5"/>
    </row>
    <row r="14" spans="1:10" s="4" customFormat="1" ht="15" customHeight="1" thickBot="1" x14ac:dyDescent="0.4">
      <c r="A14" s="17" t="s">
        <v>173</v>
      </c>
      <c r="B14" s="46"/>
      <c r="C14" s="116" t="s">
        <v>17</v>
      </c>
      <c r="D14" s="117">
        <v>20</v>
      </c>
      <c r="E14" s="47"/>
      <c r="F14" s="118" t="s">
        <v>17</v>
      </c>
      <c r="G14" s="117">
        <v>20</v>
      </c>
      <c r="H14" s="46"/>
      <c r="I14" s="46"/>
      <c r="J14" s="46"/>
    </row>
    <row r="15" spans="1:10" s="4" customFormat="1" ht="15" customHeight="1" thickTop="1" thickBot="1" x14ac:dyDescent="0.4">
      <c r="A15" s="27"/>
      <c r="B15" s="46"/>
      <c r="C15" s="10" t="s">
        <v>302</v>
      </c>
      <c r="D15" s="115"/>
      <c r="E15" s="47"/>
      <c r="F15" s="46"/>
      <c r="G15" s="95">
        <f>MODE(G10:G14)</f>
        <v>50</v>
      </c>
      <c r="H15" s="46"/>
      <c r="I15" s="46"/>
      <c r="J15" s="46"/>
    </row>
    <row r="16" spans="1:10" s="4" customFormat="1" ht="15" customHeight="1" thickTop="1" x14ac:dyDescent="0.35">
      <c r="A16" s="17"/>
      <c r="B16" s="46"/>
      <c r="C16" s="46"/>
      <c r="D16" s="46"/>
      <c r="E16" s="46"/>
      <c r="F16" s="46"/>
      <c r="G16" s="46"/>
      <c r="H16" s="46"/>
      <c r="I16" s="46"/>
      <c r="J16" s="46"/>
    </row>
    <row r="17" spans="1:3" s="4" customFormat="1" ht="15" customHeight="1" x14ac:dyDescent="0.35">
      <c r="A17" s="17"/>
      <c r="B17" s="46"/>
      <c r="C17" s="9"/>
    </row>
    <row r="18" spans="1:3" s="4" customFormat="1" ht="15" customHeight="1" x14ac:dyDescent="0.35">
      <c r="A18" s="17"/>
      <c r="B18" s="46"/>
      <c r="C18" s="9"/>
    </row>
    <row r="19" spans="1:3" s="4" customFormat="1" ht="15" customHeight="1" x14ac:dyDescent="0.35">
      <c r="A19" s="17"/>
      <c r="B19" s="46"/>
      <c r="C19" s="9"/>
    </row>
    <row r="20" spans="1:3" s="4" customFormat="1" ht="15" customHeight="1" x14ac:dyDescent="0.35">
      <c r="A20" s="17"/>
      <c r="B20" s="46"/>
      <c r="C20" s="9"/>
    </row>
    <row r="21" spans="1:3" s="4" customFormat="1" ht="15" customHeight="1" x14ac:dyDescent="0.35">
      <c r="A21" s="17"/>
      <c r="B21" s="46"/>
      <c r="C21" s="9"/>
    </row>
    <row r="22" spans="1:3" s="4" customFormat="1" ht="15" customHeight="1" x14ac:dyDescent="0.35">
      <c r="A22" s="17"/>
      <c r="B22" s="46"/>
      <c r="C22" s="9"/>
    </row>
    <row r="23" spans="1:3" s="4" customFormat="1" ht="15" customHeight="1" x14ac:dyDescent="0.35">
      <c r="A23" s="17"/>
      <c r="B23" s="46"/>
      <c r="C23" s="9"/>
    </row>
    <row r="24" spans="1:3" s="4" customFormat="1" ht="15" customHeight="1" x14ac:dyDescent="0.35">
      <c r="A24" s="17"/>
      <c r="B24" s="46"/>
      <c r="C24" s="9"/>
    </row>
    <row r="25" spans="1:3" s="4" customFormat="1" ht="15" customHeight="1" x14ac:dyDescent="0.35">
      <c r="A25" s="17"/>
      <c r="B25" s="46"/>
      <c r="C25" s="9"/>
    </row>
    <row r="26" spans="1:3" s="4" customFormat="1" ht="15" customHeight="1" x14ac:dyDescent="0.35">
      <c r="A26" s="17"/>
      <c r="B26" s="46"/>
      <c r="C26" s="9"/>
    </row>
    <row r="27" spans="1:3" x14ac:dyDescent="0.35">
      <c r="A27" s="17"/>
      <c r="B27" s="45"/>
    </row>
    <row r="28" spans="1:3" x14ac:dyDescent="0.35">
      <c r="A28" s="17"/>
      <c r="B28" s="45"/>
    </row>
    <row r="29" spans="1:3" ht="15" customHeight="1" x14ac:dyDescent="0.35">
      <c r="A29" s="17"/>
      <c r="B29" s="45"/>
      <c r="C29" s="9" t="s">
        <v>18</v>
      </c>
    </row>
    <row r="30" spans="1:3" ht="15" customHeight="1" x14ac:dyDescent="0.35">
      <c r="A30" s="17"/>
      <c r="B30" s="45"/>
      <c r="C30" s="9" t="s">
        <v>19</v>
      </c>
    </row>
    <row r="31" spans="1:3" ht="15" customHeight="1" x14ac:dyDescent="0.35">
      <c r="A31" s="17"/>
      <c r="B31" s="45"/>
      <c r="C31" s="9" t="s">
        <v>20</v>
      </c>
    </row>
    <row r="32" spans="1:3" ht="15" customHeight="1" x14ac:dyDescent="0.35">
      <c r="A32" s="17"/>
      <c r="B32" s="45"/>
      <c r="C32" s="9" t="s">
        <v>21</v>
      </c>
    </row>
    <row r="33" spans="1:9" ht="15" customHeight="1" x14ac:dyDescent="0.35">
      <c r="A33" s="17"/>
      <c r="B33" s="45"/>
      <c r="C33" s="9" t="s">
        <v>22</v>
      </c>
      <c r="D33" s="45"/>
      <c r="E33" s="45"/>
      <c r="F33" s="46"/>
      <c r="G33" s="45"/>
      <c r="H33" s="45"/>
      <c r="I33" s="45"/>
    </row>
    <row r="34" spans="1:9" ht="15" customHeight="1" x14ac:dyDescent="0.35">
      <c r="A34" s="17"/>
      <c r="B34" s="45"/>
      <c r="C34" s="9" t="s">
        <v>23</v>
      </c>
      <c r="D34" s="45"/>
      <c r="E34" s="45"/>
      <c r="F34" s="46"/>
      <c r="G34" s="45"/>
      <c r="H34" s="45"/>
      <c r="I34" s="45"/>
    </row>
    <row r="35" spans="1:9" ht="15" customHeight="1" x14ac:dyDescent="0.35">
      <c r="A35" s="17"/>
      <c r="B35" s="45"/>
      <c r="C35" s="9" t="s">
        <v>24</v>
      </c>
      <c r="D35" s="45"/>
      <c r="E35" s="45"/>
      <c r="F35" s="46"/>
      <c r="G35" s="45"/>
      <c r="H35" s="45"/>
      <c r="I35" s="45"/>
    </row>
    <row r="36" spans="1:9" x14ac:dyDescent="0.35">
      <c r="A36" s="17"/>
      <c r="B36" s="45"/>
      <c r="D36" s="45"/>
      <c r="E36" s="45"/>
      <c r="F36" s="46"/>
      <c r="G36" s="45"/>
      <c r="H36" s="45"/>
      <c r="I36" s="45"/>
    </row>
    <row r="41" spans="1:9" ht="15" customHeight="1" x14ac:dyDescent="0.35">
      <c r="B41" s="45"/>
      <c r="C41" s="9" t="s">
        <v>30</v>
      </c>
      <c r="D41" s="45"/>
      <c r="E41" s="45"/>
      <c r="F41" s="46"/>
      <c r="G41" s="45"/>
      <c r="H41" s="45"/>
      <c r="I41" s="45"/>
    </row>
    <row r="42" spans="1:9" ht="15" customHeight="1" x14ac:dyDescent="0.35">
      <c r="B42" s="45"/>
      <c r="C42" s="9" t="s">
        <v>37</v>
      </c>
      <c r="D42" s="45"/>
      <c r="E42" s="45"/>
      <c r="F42" s="46"/>
      <c r="G42" s="45"/>
      <c r="H42" s="45"/>
      <c r="I42" s="45"/>
    </row>
    <row r="43" spans="1:9" ht="15" customHeight="1" x14ac:dyDescent="0.35">
      <c r="B43" s="45"/>
      <c r="C43" s="9" t="s">
        <v>31</v>
      </c>
      <c r="D43" s="45"/>
      <c r="E43" s="45"/>
      <c r="F43" s="46"/>
      <c r="G43" s="45"/>
      <c r="H43" s="45"/>
      <c r="I43" s="45"/>
    </row>
    <row r="44" spans="1:9" ht="15" customHeight="1" x14ac:dyDescent="0.35">
      <c r="B44" s="45"/>
      <c r="C44" s="9" t="s">
        <v>32</v>
      </c>
      <c r="D44" s="45"/>
      <c r="E44" s="45"/>
      <c r="F44" s="46"/>
      <c r="G44" s="45"/>
      <c r="H44" s="45"/>
      <c r="I44" s="45"/>
    </row>
    <row r="45" spans="1:9" ht="15" customHeight="1" x14ac:dyDescent="0.35">
      <c r="B45" s="45"/>
      <c r="C45" s="9" t="s">
        <v>33</v>
      </c>
      <c r="D45" s="45"/>
      <c r="E45" s="45"/>
      <c r="F45" s="46"/>
      <c r="G45" s="45"/>
      <c r="H45" s="45"/>
      <c r="I45" s="45"/>
    </row>
    <row r="46" spans="1:9" ht="15" customHeight="1" x14ac:dyDescent="0.35">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election activeCell="G8" sqref="G8"/>
    </sheetView>
  </sheetViews>
  <sheetFormatPr defaultColWidth="8.90625" defaultRowHeight="14.5" x14ac:dyDescent="0.35"/>
  <cols>
    <col min="1" max="1" width="12.6328125" style="18"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8" ht="60" customHeight="1" x14ac:dyDescent="0.35">
      <c r="A1" s="18" t="s">
        <v>38</v>
      </c>
      <c r="B1" s="45"/>
      <c r="C1" s="80"/>
      <c r="D1" s="92"/>
      <c r="E1" s="92"/>
      <c r="F1" s="92"/>
      <c r="G1" s="92"/>
      <c r="H1" s="45"/>
    </row>
    <row r="2" spans="1:8" ht="15" customHeight="1" x14ac:dyDescent="0.35">
      <c r="A2" s="16" t="s">
        <v>39</v>
      </c>
      <c r="B2" s="45"/>
      <c r="C2" s="7" t="s">
        <v>1</v>
      </c>
      <c r="D2" s="8" t="s">
        <v>2</v>
      </c>
      <c r="E2" s="47"/>
      <c r="F2" s="11" t="s">
        <v>3</v>
      </c>
      <c r="G2" s="8" t="s">
        <v>2</v>
      </c>
      <c r="H2" s="5"/>
    </row>
    <row r="3" spans="1:8" ht="15" customHeight="1" x14ac:dyDescent="0.35">
      <c r="A3" s="16" t="s">
        <v>40</v>
      </c>
      <c r="B3" s="45"/>
      <c r="C3" s="116" t="s">
        <v>4</v>
      </c>
      <c r="D3" s="117">
        <v>50</v>
      </c>
      <c r="E3" s="47"/>
      <c r="F3" s="118" t="s">
        <v>5</v>
      </c>
      <c r="G3" s="117">
        <v>50</v>
      </c>
      <c r="H3" s="5"/>
    </row>
    <row r="4" spans="1:8" ht="15" customHeight="1" x14ac:dyDescent="0.35">
      <c r="A4" s="100" t="s">
        <v>179</v>
      </c>
      <c r="B4" s="45"/>
      <c r="C4" s="116" t="s">
        <v>6</v>
      </c>
      <c r="D4" s="117">
        <v>20</v>
      </c>
      <c r="E4" s="47"/>
      <c r="F4" s="118" t="s">
        <v>7</v>
      </c>
      <c r="G4" s="117">
        <v>30</v>
      </c>
      <c r="H4" s="5"/>
    </row>
    <row r="5" spans="1:8" s="4" customFormat="1" ht="15" customHeight="1" x14ac:dyDescent="0.35">
      <c r="A5" s="100" t="s">
        <v>180</v>
      </c>
      <c r="B5" s="46"/>
      <c r="C5" s="116" t="s">
        <v>8</v>
      </c>
      <c r="D5" s="117">
        <v>60</v>
      </c>
      <c r="E5" s="47"/>
      <c r="F5" s="118" t="s">
        <v>9</v>
      </c>
      <c r="G5" s="117">
        <v>10</v>
      </c>
      <c r="H5" s="5"/>
    </row>
    <row r="6" spans="1:8" s="4" customFormat="1" ht="15" customHeight="1" x14ac:dyDescent="0.35">
      <c r="A6" s="100" t="s">
        <v>181</v>
      </c>
      <c r="B6" s="46"/>
      <c r="C6" s="116" t="s">
        <v>10</v>
      </c>
      <c r="D6" s="117">
        <v>40</v>
      </c>
      <c r="E6" s="47"/>
      <c r="F6" s="118" t="s">
        <v>11</v>
      </c>
      <c r="G6" s="117">
        <v>50</v>
      </c>
      <c r="H6" s="5"/>
    </row>
    <row r="7" spans="1:8" s="4" customFormat="1" ht="15" customHeight="1" x14ac:dyDescent="0.35">
      <c r="A7" s="101" t="s">
        <v>35</v>
      </c>
      <c r="B7" s="46"/>
      <c r="C7" s="10" t="s">
        <v>303</v>
      </c>
      <c r="D7" s="115">
        <f>MIN(D3:D6)</f>
        <v>20</v>
      </c>
      <c r="E7" s="47"/>
      <c r="F7" s="10" t="s">
        <v>304</v>
      </c>
      <c r="G7" s="115">
        <f>MAX(G3:G6)</f>
        <v>50</v>
      </c>
      <c r="H7" s="5"/>
    </row>
    <row r="8" spans="1:8" s="4" customFormat="1" ht="15" customHeight="1" x14ac:dyDescent="0.35">
      <c r="A8" s="17" t="s">
        <v>182</v>
      </c>
      <c r="B8" s="46"/>
      <c r="C8" s="46"/>
      <c r="D8" s="47"/>
      <c r="E8" s="47"/>
      <c r="F8" s="46"/>
      <c r="G8" s="47"/>
      <c r="H8" s="5"/>
    </row>
    <row r="9" spans="1:8" s="4" customFormat="1" ht="15" customHeight="1" x14ac:dyDescent="0.35">
      <c r="A9" s="17" t="s">
        <v>183</v>
      </c>
      <c r="B9" s="46"/>
      <c r="C9" s="7" t="s">
        <v>12</v>
      </c>
      <c r="D9" s="8" t="s">
        <v>2</v>
      </c>
      <c r="E9" s="47"/>
      <c r="F9" s="11" t="s">
        <v>12</v>
      </c>
      <c r="G9" s="8" t="s">
        <v>2</v>
      </c>
      <c r="H9" s="5"/>
    </row>
    <row r="10" spans="1:8" s="4" customFormat="1" ht="15" customHeight="1" x14ac:dyDescent="0.35">
      <c r="A10" s="16" t="s">
        <v>33</v>
      </c>
      <c r="B10" s="46"/>
      <c r="C10" s="116" t="s">
        <v>13</v>
      </c>
      <c r="D10" s="117">
        <v>50</v>
      </c>
      <c r="E10" s="47"/>
      <c r="F10" s="118" t="s">
        <v>13</v>
      </c>
      <c r="G10" s="117">
        <v>50</v>
      </c>
      <c r="H10" s="5"/>
    </row>
    <row r="11" spans="1:8" s="4" customFormat="1" ht="15" customHeight="1" x14ac:dyDescent="0.35">
      <c r="A11" s="101" t="s">
        <v>273</v>
      </c>
      <c r="B11" s="46"/>
      <c r="C11" s="116" t="s">
        <v>14</v>
      </c>
      <c r="D11" s="117">
        <v>100</v>
      </c>
      <c r="E11" s="47"/>
      <c r="F11" s="118" t="s">
        <v>14</v>
      </c>
      <c r="G11" s="117">
        <v>100</v>
      </c>
      <c r="H11" s="5"/>
    </row>
    <row r="12" spans="1:8" s="4" customFormat="1" ht="15" customHeight="1" x14ac:dyDescent="0.35">
      <c r="A12" s="17"/>
      <c r="B12" s="46"/>
      <c r="C12" s="116" t="s">
        <v>15</v>
      </c>
      <c r="D12" s="117">
        <v>40</v>
      </c>
      <c r="E12" s="47"/>
      <c r="F12" s="118" t="s">
        <v>15</v>
      </c>
      <c r="G12" s="117">
        <v>40</v>
      </c>
      <c r="H12" s="5"/>
    </row>
    <row r="13" spans="1:8" s="4" customFormat="1" ht="15" customHeight="1" x14ac:dyDescent="0.35">
      <c r="A13" s="17"/>
      <c r="B13" s="46"/>
      <c r="C13" s="116" t="s">
        <v>16</v>
      </c>
      <c r="D13" s="117">
        <v>50</v>
      </c>
      <c r="E13" s="47"/>
      <c r="F13" s="118" t="s">
        <v>16</v>
      </c>
      <c r="G13" s="117">
        <v>50</v>
      </c>
      <c r="H13" s="5"/>
    </row>
    <row r="14" spans="1:8" s="4" customFormat="1" ht="15" customHeight="1" x14ac:dyDescent="0.35">
      <c r="A14" s="17"/>
      <c r="B14" s="46"/>
      <c r="C14" s="116" t="s">
        <v>17</v>
      </c>
      <c r="D14" s="117">
        <v>20</v>
      </c>
      <c r="E14" s="47"/>
      <c r="F14" s="118" t="s">
        <v>17</v>
      </c>
      <c r="G14" s="117">
        <v>20</v>
      </c>
      <c r="H14" s="46"/>
    </row>
    <row r="15" spans="1:8" s="4" customFormat="1" ht="15" customHeight="1" x14ac:dyDescent="0.35">
      <c r="A15" s="18"/>
      <c r="B15" s="46"/>
      <c r="C15" s="10" t="s">
        <v>305</v>
      </c>
      <c r="D15" s="115"/>
      <c r="E15" s="47"/>
      <c r="F15" s="10"/>
      <c r="G15" s="115">
        <f>MIN(G10:G14,10)</f>
        <v>10</v>
      </c>
      <c r="H15" s="46"/>
    </row>
    <row r="16" spans="1:8" s="4" customFormat="1" ht="15" customHeight="1" x14ac:dyDescent="0.35">
      <c r="A16" s="18"/>
      <c r="B16" s="46"/>
      <c r="C16" s="46"/>
      <c r="D16" s="46"/>
      <c r="E16" s="46"/>
      <c r="F16" s="46"/>
      <c r="G16" s="46"/>
      <c r="H16" s="46"/>
    </row>
    <row r="17" spans="1:1" s="4" customFormat="1" ht="15" customHeight="1" x14ac:dyDescent="0.35">
      <c r="A17" s="18"/>
    </row>
    <row r="18" spans="1:1" s="4" customFormat="1" ht="15" customHeight="1" x14ac:dyDescent="0.35">
      <c r="A18" s="19"/>
    </row>
    <row r="19" spans="1:1" s="4" customFormat="1" ht="15" customHeight="1" x14ac:dyDescent="0.35">
      <c r="A19" s="16" t="s">
        <v>41</v>
      </c>
    </row>
    <row r="20" spans="1:1" s="4" customFormat="1" ht="15" customHeight="1" x14ac:dyDescent="0.35">
      <c r="A20" s="18"/>
    </row>
    <row r="21" spans="1:1" s="4" customFormat="1" ht="15" customHeight="1" x14ac:dyDescent="0.35">
      <c r="A21" s="16" t="s">
        <v>30</v>
      </c>
    </row>
    <row r="22" spans="1:1" s="4" customFormat="1" ht="15" customHeight="1" x14ac:dyDescent="0.35">
      <c r="A22" s="16" t="s">
        <v>42</v>
      </c>
    </row>
    <row r="23" spans="1:1" s="4" customFormat="1" ht="15" customHeight="1" x14ac:dyDescent="0.35">
      <c r="A23" s="16" t="s">
        <v>43</v>
      </c>
    </row>
    <row r="24" spans="1:1" s="4" customFormat="1" ht="15" customHeight="1" x14ac:dyDescent="0.35">
      <c r="A24" s="16" t="s">
        <v>32</v>
      </c>
    </row>
    <row r="25" spans="1:1" s="4" customFormat="1" ht="15" customHeight="1" x14ac:dyDescent="0.35">
      <c r="A25" s="16" t="s">
        <v>33</v>
      </c>
    </row>
    <row r="27" spans="1:1" ht="15" customHeight="1" x14ac:dyDescent="0.35"/>
    <row r="28" spans="1:1" ht="15" customHeight="1" x14ac:dyDescent="0.35"/>
    <row r="29" spans="1:1" ht="15" customHeight="1" x14ac:dyDescent="0.35"/>
    <row r="30" spans="1:1" ht="15" customHeight="1" x14ac:dyDescent="0.35"/>
    <row r="31" spans="1:1" ht="15" customHeight="1" x14ac:dyDescent="0.35"/>
    <row r="32" spans="1:1" ht="15" customHeight="1" x14ac:dyDescent="0.35"/>
    <row r="33" spans="3:7" ht="15" customHeight="1" x14ac:dyDescent="0.35">
      <c r="C33" s="45"/>
      <c r="D33" s="46"/>
      <c r="E33" s="45"/>
      <c r="F33" s="45"/>
      <c r="G33" s="45"/>
    </row>
    <row r="39" spans="3:7" ht="15" customHeight="1" x14ac:dyDescent="0.35">
      <c r="C39" s="45"/>
      <c r="D39" s="46"/>
      <c r="E39" s="45"/>
      <c r="F39" s="45"/>
      <c r="G39" s="45"/>
    </row>
    <row r="40" spans="3:7" ht="15" customHeight="1" x14ac:dyDescent="0.35">
      <c r="C40" s="45"/>
      <c r="D40" s="46"/>
      <c r="E40" s="45"/>
      <c r="F40" s="45"/>
      <c r="G40" s="45"/>
    </row>
    <row r="41" spans="3:7" ht="15" customHeight="1" x14ac:dyDescent="0.35">
      <c r="C41" s="45"/>
      <c r="D41" s="46"/>
      <c r="E41" s="45"/>
      <c r="F41" s="45"/>
      <c r="G41" s="45"/>
    </row>
    <row r="42" spans="3:7" ht="15" customHeight="1" x14ac:dyDescent="0.35">
      <c r="C42" s="45"/>
      <c r="D42" s="46"/>
      <c r="E42" s="45"/>
      <c r="F42" s="45"/>
      <c r="G42" s="45"/>
    </row>
    <row r="43" spans="3:7" ht="15" customHeight="1" x14ac:dyDescent="0.35">
      <c r="C43" s="45"/>
      <c r="D43" s="46"/>
      <c r="E43" s="45"/>
      <c r="F43" s="45"/>
      <c r="G43" s="45"/>
    </row>
    <row r="44" spans="3:7" ht="15" customHeight="1" x14ac:dyDescent="0.35">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28" sqref="D28"/>
    </sheetView>
  </sheetViews>
  <sheetFormatPr defaultRowHeight="14.5" x14ac:dyDescent="0.35"/>
  <cols>
    <col min="1" max="1" width="12.6328125" customWidth="1"/>
    <col min="2" max="2" width="82.90625" customWidth="1"/>
    <col min="3" max="3" width="23" bestFit="1" customWidth="1"/>
    <col min="4" max="4" width="15.08984375" customWidth="1"/>
    <col min="6" max="6" width="11.453125" bestFit="1" customWidth="1"/>
  </cols>
  <sheetData>
    <row r="1" spans="1:6" ht="60" customHeight="1" x14ac:dyDescent="0.35">
      <c r="A1" s="29" t="s">
        <v>87</v>
      </c>
    </row>
    <row r="2" spans="1:6" x14ac:dyDescent="0.35">
      <c r="A2" s="29" t="s">
        <v>184</v>
      </c>
    </row>
    <row r="3" spans="1:6" ht="32.5" x14ac:dyDescent="0.35">
      <c r="A3" s="29" t="s">
        <v>185</v>
      </c>
      <c r="C3" s="80"/>
      <c r="D3" s="93"/>
    </row>
    <row r="4" spans="1:6" x14ac:dyDescent="0.35">
      <c r="A4" s="29" t="s">
        <v>186</v>
      </c>
    </row>
    <row r="5" spans="1:6" x14ac:dyDescent="0.35">
      <c r="A5" s="29" t="s">
        <v>187</v>
      </c>
      <c r="C5" s="32" t="s">
        <v>87</v>
      </c>
      <c r="D5" s="32"/>
    </row>
    <row r="6" spans="1:6" ht="16.5" customHeight="1" x14ac:dyDescent="0.45">
      <c r="A6" s="29" t="s">
        <v>188</v>
      </c>
      <c r="C6" s="109" t="s">
        <v>55</v>
      </c>
      <c r="D6" s="119">
        <f ca="1">TODAY()</f>
        <v>46156</v>
      </c>
      <c r="F6" s="102" t="str">
        <f ca="1">IF(D6=TODAY(),"You got it!","")</f>
        <v>You got it!</v>
      </c>
    </row>
    <row r="7" spans="1:6" ht="16.5" customHeight="1" thickBot="1" x14ac:dyDescent="0.4">
      <c r="A7" s="31" t="s">
        <v>275</v>
      </c>
      <c r="C7" s="109" t="s">
        <v>85</v>
      </c>
      <c r="D7" s="119"/>
    </row>
    <row r="8" spans="1:6" ht="16.5" customHeight="1" thickTop="1" thickBot="1" x14ac:dyDescent="0.4">
      <c r="A8" s="29" t="s">
        <v>88</v>
      </c>
      <c r="C8" s="109" t="s">
        <v>86</v>
      </c>
      <c r="D8" s="120">
        <f ca="1">D7-D6</f>
        <v>-46156</v>
      </c>
    </row>
    <row r="9" spans="1:6" ht="15" thickTop="1" x14ac:dyDescent="0.35">
      <c r="A9" s="29" t="s">
        <v>189</v>
      </c>
    </row>
    <row r="10" spans="1:6" ht="15" customHeight="1" thickBot="1" x14ac:dyDescent="0.4">
      <c r="A10" s="31" t="s">
        <v>315</v>
      </c>
      <c r="C10" s="109" t="s">
        <v>97</v>
      </c>
      <c r="D10" s="121"/>
    </row>
    <row r="11" spans="1:6" ht="15" customHeight="1" thickTop="1" thickBot="1" x14ac:dyDescent="0.4">
      <c r="A11" s="31" t="s">
        <v>316</v>
      </c>
      <c r="C11" s="109" t="s">
        <v>96</v>
      </c>
      <c r="D11" s="122">
        <f ca="1">D6+D10</f>
        <v>46156</v>
      </c>
    </row>
    <row r="12" spans="1:6" ht="15" thickTop="1" x14ac:dyDescent="0.35">
      <c r="A12" s="29" t="s">
        <v>274</v>
      </c>
    </row>
    <row r="13" spans="1:6" x14ac:dyDescent="0.35">
      <c r="A13" s="29" t="s">
        <v>146</v>
      </c>
    </row>
    <row r="14" spans="1:6" x14ac:dyDescent="0.35">
      <c r="A14" s="29" t="s">
        <v>147</v>
      </c>
    </row>
    <row r="15" spans="1:6" x14ac:dyDescent="0.35">
      <c r="A15" s="29" t="s">
        <v>30</v>
      </c>
    </row>
    <row r="16" spans="1:6" x14ac:dyDescent="0.35">
      <c r="A16" s="29" t="s">
        <v>190</v>
      </c>
    </row>
    <row r="17" spans="1:6" x14ac:dyDescent="0.35">
      <c r="A17" s="29" t="s">
        <v>191</v>
      </c>
    </row>
    <row r="18" spans="1:6" x14ac:dyDescent="0.35">
      <c r="A18" s="29" t="s">
        <v>192</v>
      </c>
    </row>
    <row r="19" spans="1:6" x14ac:dyDescent="0.35">
      <c r="A19" s="29" t="s">
        <v>33</v>
      </c>
    </row>
    <row r="25" spans="1:6" ht="15" customHeight="1" x14ac:dyDescent="0.35">
      <c r="C25" s="80"/>
      <c r="D25" s="93"/>
    </row>
    <row r="27" spans="1:6" x14ac:dyDescent="0.35">
      <c r="C27" s="32" t="s">
        <v>88</v>
      </c>
      <c r="D27" s="32"/>
    </row>
    <row r="28" spans="1:6" x14ac:dyDescent="0.35">
      <c r="C28" s="109" t="s">
        <v>89</v>
      </c>
      <c r="D28" s="123"/>
    </row>
    <row r="31" spans="1:6" x14ac:dyDescent="0.35">
      <c r="C31" s="32" t="s">
        <v>94</v>
      </c>
      <c r="D31" s="32"/>
    </row>
    <row r="32" spans="1:6" x14ac:dyDescent="0.35">
      <c r="C32" s="109" t="s">
        <v>90</v>
      </c>
      <c r="D32" s="124">
        <v>0.33333333333333331</v>
      </c>
      <c r="F32" s="135"/>
    </row>
    <row r="33" spans="3:6" x14ac:dyDescent="0.35">
      <c r="C33" s="109" t="s">
        <v>92</v>
      </c>
      <c r="D33" s="124">
        <v>0.5</v>
      </c>
      <c r="F33" s="135"/>
    </row>
    <row r="34" spans="3:6" x14ac:dyDescent="0.35">
      <c r="C34" s="109" t="s">
        <v>93</v>
      </c>
      <c r="D34" s="124">
        <v>0.54166666666666663</v>
      </c>
      <c r="F34" s="135"/>
    </row>
    <row r="35" spans="3:6" ht="15" thickBot="1" x14ac:dyDescent="0.4">
      <c r="C35" s="109" t="s">
        <v>91</v>
      </c>
      <c r="D35" s="124">
        <v>0.70833333333333337</v>
      </c>
      <c r="F35" s="135"/>
    </row>
    <row r="36" spans="3:6" ht="15.5" thickTop="1" thickBot="1" x14ac:dyDescent="0.4">
      <c r="C36" s="109" t="s">
        <v>95</v>
      </c>
      <c r="D36" s="134">
        <f>((D35-D32)-(D34-D33))*24</f>
        <v>8.0000000000000018</v>
      </c>
    </row>
    <row r="37" spans="3:6" ht="15" thickTop="1" x14ac:dyDescent="0.35"/>
    <row r="45" spans="3:6" x14ac:dyDescent="0.35">
      <c r="C45" s="32" t="s">
        <v>98</v>
      </c>
      <c r="D45" s="32"/>
    </row>
    <row r="46" spans="3:6" x14ac:dyDescent="0.35">
      <c r="C46" s="125" t="s">
        <v>99</v>
      </c>
      <c r="D46" s="126">
        <v>43005</v>
      </c>
    </row>
    <row r="47" spans="3:6" x14ac:dyDescent="0.35">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C36" sqref="C36"/>
    </sheetView>
  </sheetViews>
  <sheetFormatPr defaultRowHeight="14.5" x14ac:dyDescent="0.35"/>
  <cols>
    <col min="1" max="1" width="12.6328125" style="29" customWidth="1"/>
    <col min="2" max="2" width="82.90625" customWidth="1"/>
    <col min="3" max="3" width="16.36328125" customWidth="1"/>
    <col min="4" max="4" width="15" customWidth="1"/>
    <col min="5" max="5" width="21" bestFit="1" customWidth="1"/>
    <col min="6" max="6" width="18.36328125" customWidth="1"/>
  </cols>
  <sheetData>
    <row r="1" spans="1:6" ht="60" customHeight="1" x14ac:dyDescent="0.35">
      <c r="A1" s="29" t="s">
        <v>193</v>
      </c>
      <c r="C1" s="80"/>
      <c r="D1" s="93"/>
      <c r="E1" s="93"/>
      <c r="F1" s="93"/>
    </row>
    <row r="2" spans="1:6" x14ac:dyDescent="0.35">
      <c r="A2" s="29" t="s">
        <v>194</v>
      </c>
      <c r="C2" s="7" t="s">
        <v>101</v>
      </c>
      <c r="D2" s="7" t="s">
        <v>102</v>
      </c>
      <c r="E2" s="7" t="s">
        <v>103</v>
      </c>
      <c r="F2" s="7" t="s">
        <v>120</v>
      </c>
    </row>
    <row r="3" spans="1:6" x14ac:dyDescent="0.35">
      <c r="A3" s="29" t="s">
        <v>195</v>
      </c>
      <c r="C3" s="109" t="s">
        <v>104</v>
      </c>
      <c r="D3" s="109" t="s">
        <v>105</v>
      </c>
      <c r="E3" s="121" t="str">
        <f>D3&amp;", "&amp;C3</f>
        <v>Smith, Nancy</v>
      </c>
      <c r="F3" s="63" t="str">
        <f>C3&amp;" "&amp;D3</f>
        <v>Nancy Smith</v>
      </c>
    </row>
    <row r="4" spans="1:6" x14ac:dyDescent="0.35">
      <c r="A4" s="29" t="s">
        <v>196</v>
      </c>
      <c r="C4" s="109" t="s">
        <v>106</v>
      </c>
      <c r="D4" s="109" t="s">
        <v>107</v>
      </c>
      <c r="E4" s="121"/>
      <c r="F4" s="63"/>
    </row>
    <row r="5" spans="1:6" x14ac:dyDescent="0.35">
      <c r="A5" s="29" t="s">
        <v>197</v>
      </c>
      <c r="C5" s="109" t="s">
        <v>108</v>
      </c>
      <c r="D5" s="109" t="s">
        <v>109</v>
      </c>
      <c r="E5" s="121"/>
      <c r="F5" s="63"/>
    </row>
    <row r="6" spans="1:6" x14ac:dyDescent="0.35">
      <c r="A6" s="29" t="s">
        <v>136</v>
      </c>
      <c r="C6" s="109" t="s">
        <v>110</v>
      </c>
      <c r="D6" s="109" t="s">
        <v>111</v>
      </c>
      <c r="E6" s="121"/>
      <c r="F6" s="63"/>
    </row>
    <row r="7" spans="1:6" x14ac:dyDescent="0.35">
      <c r="A7" s="29" t="s">
        <v>147</v>
      </c>
      <c r="C7" s="109" t="s">
        <v>112</v>
      </c>
      <c r="D7" s="109" t="s">
        <v>113</v>
      </c>
      <c r="E7" s="121"/>
      <c r="F7" s="63"/>
    </row>
    <row r="8" spans="1:6" x14ac:dyDescent="0.35">
      <c r="A8" s="29" t="s">
        <v>57</v>
      </c>
      <c r="C8" s="109" t="s">
        <v>114</v>
      </c>
      <c r="D8" s="109" t="s">
        <v>115</v>
      </c>
      <c r="E8" s="121"/>
      <c r="F8" s="63"/>
    </row>
    <row r="9" spans="1:6" x14ac:dyDescent="0.35">
      <c r="A9" s="29" t="s">
        <v>198</v>
      </c>
      <c r="C9" s="109" t="s">
        <v>116</v>
      </c>
      <c r="D9" s="109" t="s">
        <v>117</v>
      </c>
      <c r="E9" s="121"/>
      <c r="F9" s="63"/>
    </row>
    <row r="10" spans="1:6" x14ac:dyDescent="0.35">
      <c r="A10" s="29" t="s">
        <v>199</v>
      </c>
      <c r="C10" s="109" t="s">
        <v>118</v>
      </c>
      <c r="D10" s="109" t="s">
        <v>119</v>
      </c>
      <c r="E10" s="121"/>
      <c r="F10" s="63"/>
    </row>
    <row r="11" spans="1:6" x14ac:dyDescent="0.35">
      <c r="A11" s="29" t="s">
        <v>200</v>
      </c>
    </row>
    <row r="12" spans="1:6" x14ac:dyDescent="0.35">
      <c r="A12" s="29" t="s">
        <v>201</v>
      </c>
    </row>
    <row r="13" spans="1:6" x14ac:dyDescent="0.35">
      <c r="A13" s="29" t="s">
        <v>317</v>
      </c>
    </row>
    <row r="14" spans="1:6" x14ac:dyDescent="0.35">
      <c r="A14" s="29" t="s">
        <v>30</v>
      </c>
    </row>
    <row r="15" spans="1:6" x14ac:dyDescent="0.35">
      <c r="A15" s="29" t="s">
        <v>202</v>
      </c>
    </row>
    <row r="16" spans="1:6" x14ac:dyDescent="0.35">
      <c r="A16" s="29" t="s">
        <v>203</v>
      </c>
    </row>
    <row r="17" spans="1:4" x14ac:dyDescent="0.35">
      <c r="A17" s="29" t="s">
        <v>33</v>
      </c>
    </row>
    <row r="21" spans="1:4" x14ac:dyDescent="0.35">
      <c r="D21" s="12"/>
    </row>
    <row r="27" spans="1:4" x14ac:dyDescent="0.35">
      <c r="C27" s="32" t="s">
        <v>58</v>
      </c>
      <c r="D27" s="32"/>
    </row>
    <row r="28" spans="1:4" x14ac:dyDescent="0.35">
      <c r="C28" s="109" t="s">
        <v>55</v>
      </c>
      <c r="D28" s="119">
        <f ca="1">TODAY()</f>
        <v>46156</v>
      </c>
    </row>
    <row r="29" spans="1:4" x14ac:dyDescent="0.35">
      <c r="C29" s="109" t="s">
        <v>56</v>
      </c>
      <c r="D29" s="128">
        <f ca="1">NOW()</f>
        <v>46156.704929629632</v>
      </c>
    </row>
    <row r="31" spans="1:4" x14ac:dyDescent="0.35">
      <c r="C31" s="32" t="s">
        <v>59</v>
      </c>
      <c r="D31" s="32"/>
    </row>
    <row r="32" spans="1:4" x14ac:dyDescent="0.35">
      <c r="C32" s="109" t="str">
        <f ca="1">C28&amp;" "&amp;D28</f>
        <v>Today's date: 46156</v>
      </c>
      <c r="D32" s="109"/>
    </row>
    <row r="33" spans="3:4" x14ac:dyDescent="0.35">
      <c r="C33" s="109" t="str">
        <f ca="1">C29&amp;" "&amp;D29</f>
        <v>Current time: 46156.7049296296</v>
      </c>
      <c r="D33" s="109"/>
    </row>
    <row r="35" spans="3:4" x14ac:dyDescent="0.35">
      <c r="C35" s="32" t="s">
        <v>60</v>
      </c>
      <c r="D35" s="32"/>
    </row>
    <row r="36" spans="3:4" x14ac:dyDescent="0.35">
      <c r="C36" s="63" t="str">
        <f ca="1">C28 &amp;" "&amp; TEXT(D28,"MM/DD/YYYY")</f>
        <v>Today's date: 05/14/2026</v>
      </c>
      <c r="D36" s="63"/>
    </row>
    <row r="37" spans="3:4" x14ac:dyDescent="0.35">
      <c r="C37" s="63" t="str">
        <f ca="1">C29&amp;" "&amp;TEXT(D29,"HH:MM AM/PM")</f>
        <v>Current time: 04:55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F35" sqref="F35"/>
    </sheetView>
  </sheetViews>
  <sheetFormatPr defaultRowHeight="14.5" x14ac:dyDescent="0.35"/>
  <cols>
    <col min="1" max="1" width="12.6328125" customWidth="1"/>
    <col min="2" max="2" width="82.90625" customWidth="1"/>
    <col min="3" max="3" width="17.08984375" customWidth="1"/>
    <col min="4" max="4" width="26.08984375" bestFit="1" customWidth="1"/>
  </cols>
  <sheetData>
    <row r="1" spans="1:6" ht="60" customHeight="1" x14ac:dyDescent="0.35">
      <c r="A1" s="29" t="s">
        <v>61</v>
      </c>
      <c r="D1" s="93"/>
    </row>
    <row r="2" spans="1:6" x14ac:dyDescent="0.35">
      <c r="A2" s="29" t="s">
        <v>204</v>
      </c>
      <c r="E2" s="36"/>
      <c r="F2" s="36"/>
    </row>
    <row r="3" spans="1:6" ht="15" customHeight="1" x14ac:dyDescent="0.35">
      <c r="A3" s="31" t="s">
        <v>276</v>
      </c>
      <c r="E3" s="36"/>
      <c r="F3" s="36"/>
    </row>
    <row r="4" spans="1:6" ht="15" customHeight="1" x14ac:dyDescent="0.35">
      <c r="A4" s="31" t="s">
        <v>277</v>
      </c>
      <c r="E4" s="36"/>
      <c r="F4" s="36"/>
    </row>
    <row r="5" spans="1:6" ht="15" customHeight="1" x14ac:dyDescent="0.35">
      <c r="A5" s="31" t="s">
        <v>314</v>
      </c>
      <c r="C5" s="103"/>
      <c r="E5" s="36"/>
      <c r="F5" s="36"/>
    </row>
    <row r="6" spans="1:6" x14ac:dyDescent="0.35">
      <c r="A6" s="29" t="s">
        <v>205</v>
      </c>
      <c r="E6" s="36"/>
      <c r="F6" s="36"/>
    </row>
    <row r="7" spans="1:6" x14ac:dyDescent="0.35">
      <c r="A7" s="29" t="s">
        <v>136</v>
      </c>
      <c r="C7" s="36"/>
      <c r="D7" s="36"/>
      <c r="E7" s="36"/>
      <c r="F7" s="36"/>
    </row>
    <row r="8" spans="1:6" x14ac:dyDescent="0.35">
      <c r="A8" s="29" t="s">
        <v>147</v>
      </c>
      <c r="C8" s="35" t="s">
        <v>61</v>
      </c>
      <c r="D8" s="35"/>
    </row>
    <row r="9" spans="1:6" x14ac:dyDescent="0.35">
      <c r="A9" s="29" t="s">
        <v>206</v>
      </c>
      <c r="C9" s="129" t="s">
        <v>121</v>
      </c>
      <c r="D9" s="55"/>
    </row>
    <row r="10" spans="1:6" x14ac:dyDescent="0.35">
      <c r="A10" s="29" t="s">
        <v>207</v>
      </c>
      <c r="C10" s="129" t="s">
        <v>122</v>
      </c>
      <c r="D10" s="55"/>
    </row>
    <row r="11" spans="1:6" ht="15" customHeight="1" thickBot="1" x14ac:dyDescent="0.4">
      <c r="A11" s="31" t="s">
        <v>278</v>
      </c>
      <c r="C11" s="36"/>
      <c r="D11" s="36"/>
    </row>
    <row r="12" spans="1:6" ht="15" customHeight="1" thickTop="1" thickBot="1" x14ac:dyDescent="0.4">
      <c r="A12" s="31" t="s">
        <v>279</v>
      </c>
      <c r="C12" s="61">
        <v>50</v>
      </c>
      <c r="D12" s="55" t="str">
        <f>IF(C12&lt;100,"Less than 100","Greater than or equal to 100")</f>
        <v>Less than 100</v>
      </c>
    </row>
    <row r="13" spans="1:6" ht="15" customHeight="1" thickTop="1" x14ac:dyDescent="0.35">
      <c r="A13" s="31" t="s">
        <v>280</v>
      </c>
    </row>
    <row r="14" spans="1:6" x14ac:dyDescent="0.35">
      <c r="A14" s="29" t="s">
        <v>208</v>
      </c>
    </row>
    <row r="15" spans="1:6" ht="15" customHeight="1" x14ac:dyDescent="0.35">
      <c r="A15" s="31" t="s">
        <v>281</v>
      </c>
    </row>
    <row r="16" spans="1:6" x14ac:dyDescent="0.35">
      <c r="A16" s="29" t="s">
        <v>146</v>
      </c>
    </row>
    <row r="17" spans="1:6" x14ac:dyDescent="0.35">
      <c r="A17" s="29" t="s">
        <v>147</v>
      </c>
    </row>
    <row r="18" spans="1:6" x14ac:dyDescent="0.35">
      <c r="A18" s="29" t="s">
        <v>30</v>
      </c>
      <c r="C18" s="12"/>
    </row>
    <row r="19" spans="1:6" x14ac:dyDescent="0.35">
      <c r="A19" s="29" t="s">
        <v>209</v>
      </c>
    </row>
    <row r="20" spans="1:6" x14ac:dyDescent="0.35">
      <c r="A20" s="29" t="s">
        <v>210</v>
      </c>
    </row>
    <row r="21" spans="1:6" x14ac:dyDescent="0.35">
      <c r="A21" s="29" t="s">
        <v>211</v>
      </c>
    </row>
    <row r="22" spans="1:6" x14ac:dyDescent="0.35">
      <c r="A22" s="29" t="s">
        <v>33</v>
      </c>
    </row>
    <row r="26" spans="1:6" ht="15" thickBot="1" x14ac:dyDescent="0.4"/>
    <row r="27" spans="1:6" ht="15" thickBot="1" x14ac:dyDescent="0.4">
      <c r="C27" s="71" t="s">
        <v>12</v>
      </c>
      <c r="D27" s="72" t="s">
        <v>63</v>
      </c>
      <c r="E27" s="72" t="s">
        <v>64</v>
      </c>
      <c r="F27" s="72" t="s">
        <v>65</v>
      </c>
    </row>
    <row r="28" spans="1:6" x14ac:dyDescent="0.35">
      <c r="C28" s="73" t="s">
        <v>66</v>
      </c>
      <c r="D28" s="73">
        <v>2</v>
      </c>
      <c r="E28" s="74">
        <v>9.7607115856835538</v>
      </c>
      <c r="F28" s="74">
        <f>'IF statements'!$E$28:$E$29*'IF statements'!$D$28:$D$29</f>
        <v>19.521423171367108</v>
      </c>
    </row>
    <row r="29" spans="1:6" ht="15" thickBot="1" x14ac:dyDescent="0.4">
      <c r="C29" s="64" t="s">
        <v>67</v>
      </c>
      <c r="D29" s="64">
        <v>3</v>
      </c>
      <c r="E29" s="65">
        <v>3.4189202461080024</v>
      </c>
      <c r="F29" s="65">
        <f>'IF statements'!$E$28:$E$29*'IF statements'!$D$28:$D$29</f>
        <v>10.256760738324008</v>
      </c>
    </row>
    <row r="30" spans="1:6" x14ac:dyDescent="0.35">
      <c r="C30" s="36"/>
      <c r="D30" s="36"/>
      <c r="E30" s="36"/>
      <c r="F30" s="36"/>
    </row>
    <row r="31" spans="1:6" x14ac:dyDescent="0.35">
      <c r="C31" s="36"/>
      <c r="D31" s="36" t="s">
        <v>68</v>
      </c>
      <c r="E31" s="37">
        <f>SUM('IF statements'!$E$28:$E$29)</f>
        <v>13.179631831791557</v>
      </c>
      <c r="F31" s="37">
        <f>SUM('IF statements'!F28:F29)</f>
        <v>29.778183909691116</v>
      </c>
    </row>
    <row r="32" spans="1:6" ht="15" thickBot="1" x14ac:dyDescent="0.4">
      <c r="C32" s="36"/>
      <c r="D32" s="36"/>
      <c r="E32" s="36"/>
      <c r="F32" s="36"/>
    </row>
    <row r="33" spans="3:6" ht="15.5" thickTop="1" thickBot="1" x14ac:dyDescent="0.4">
      <c r="C33" s="36"/>
      <c r="D33" s="36" t="s">
        <v>69</v>
      </c>
      <c r="E33" s="61" t="s">
        <v>62</v>
      </c>
      <c r="F33" s="38">
        <f>IF(E33="Yes",F31*SalesTax,0)</f>
        <v>2.456700172549517</v>
      </c>
    </row>
    <row r="34" spans="3:6" ht="15.5" thickTop="1" thickBot="1" x14ac:dyDescent="0.4">
      <c r="C34" s="36"/>
      <c r="D34" s="36"/>
      <c r="E34" s="36"/>
      <c r="F34" s="36"/>
    </row>
    <row r="35" spans="3:6" ht="15.5" thickTop="1" thickBot="1" x14ac:dyDescent="0.4">
      <c r="C35" s="36"/>
      <c r="D35" s="36" t="s">
        <v>123</v>
      </c>
      <c r="E35" s="61" t="s">
        <v>62</v>
      </c>
      <c r="F35" s="38">
        <f>IF(E35="Yes",SUM(D28:D29)*1.25,0)</f>
        <v>6.25</v>
      </c>
    </row>
    <row r="36" spans="3:6" ht="15" thickTop="1" x14ac:dyDescent="0.35"/>
    <row r="37" spans="3:6" x14ac:dyDescent="0.35">
      <c r="D37" s="36" t="s">
        <v>65</v>
      </c>
      <c r="E37" s="36"/>
      <c r="F37" s="37">
        <f>SUM(F33,F31,F35)</f>
        <v>38.484884082240633</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abSelected="1" topLeftCell="A17" zoomScaleNormal="100" workbookViewId="0">
      <selection activeCell="G43" sqref="G43"/>
    </sheetView>
  </sheetViews>
  <sheetFormatPr defaultColWidth="8.90625" defaultRowHeight="15" customHeight="1" x14ac:dyDescent="0.35"/>
  <cols>
    <col min="1" max="1" width="12.6328125" style="9"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7" ht="60" customHeight="1" x14ac:dyDescent="0.35">
      <c r="A1" s="9" t="s">
        <v>70</v>
      </c>
      <c r="B1" s="45"/>
      <c r="D1" s="92"/>
      <c r="E1" s="92"/>
      <c r="F1" s="92"/>
      <c r="G1" s="92"/>
    </row>
    <row r="2" spans="1:7" ht="15" customHeight="1" x14ac:dyDescent="0.35">
      <c r="A2" s="9" t="s">
        <v>212</v>
      </c>
      <c r="B2" s="45"/>
    </row>
    <row r="3" spans="1:7" ht="15" customHeight="1" x14ac:dyDescent="0.35">
      <c r="A3" s="9" t="s">
        <v>213</v>
      </c>
      <c r="B3" s="45"/>
    </row>
    <row r="4" spans="1:7" ht="15" customHeight="1" x14ac:dyDescent="0.35">
      <c r="A4" s="9" t="s">
        <v>214</v>
      </c>
      <c r="B4" s="45"/>
    </row>
    <row r="5" spans="1:7" s="4" customFormat="1" ht="15" customHeight="1" x14ac:dyDescent="0.35">
      <c r="A5" s="26" t="s">
        <v>215</v>
      </c>
      <c r="B5" s="46"/>
    </row>
    <row r="6" spans="1:7" s="4" customFormat="1" ht="15" customHeight="1" x14ac:dyDescent="0.35">
      <c r="A6" s="26" t="s">
        <v>216</v>
      </c>
      <c r="B6" s="46"/>
    </row>
    <row r="7" spans="1:7" s="4" customFormat="1" ht="15" customHeight="1" x14ac:dyDescent="0.35">
      <c r="A7" s="26" t="s">
        <v>217</v>
      </c>
      <c r="B7" s="46"/>
    </row>
    <row r="8" spans="1:7" s="4" customFormat="1" ht="15" customHeight="1" x14ac:dyDescent="0.35">
      <c r="A8" s="99" t="s">
        <v>282</v>
      </c>
      <c r="B8" s="46"/>
    </row>
    <row r="9" spans="1:7" s="4" customFormat="1" ht="15" customHeight="1" x14ac:dyDescent="0.35">
      <c r="A9" s="99" t="s">
        <v>283</v>
      </c>
      <c r="B9" s="46"/>
    </row>
    <row r="10" spans="1:7" s="4" customFormat="1" ht="15" customHeight="1" x14ac:dyDescent="0.35">
      <c r="A10" s="26" t="s">
        <v>218</v>
      </c>
      <c r="B10" s="46"/>
    </row>
    <row r="11" spans="1:7" s="4" customFormat="1" ht="15" customHeight="1" x14ac:dyDescent="0.35">
      <c r="A11" s="26" t="s">
        <v>136</v>
      </c>
      <c r="B11" s="46"/>
    </row>
    <row r="12" spans="1:7" s="4" customFormat="1" ht="15" customHeight="1" x14ac:dyDescent="0.35">
      <c r="A12" s="26" t="s">
        <v>147</v>
      </c>
      <c r="B12" s="46"/>
    </row>
    <row r="13" spans="1:7" s="4" customFormat="1" ht="15" customHeight="1" x14ac:dyDescent="0.35">
      <c r="A13" s="26" t="s">
        <v>219</v>
      </c>
      <c r="B13" s="46"/>
      <c r="C13" s="103"/>
      <c r="D13" s="106"/>
      <c r="E13" s="106"/>
      <c r="F13" s="106"/>
      <c r="G13" s="106"/>
    </row>
    <row r="14" spans="1:7" s="4" customFormat="1" ht="15" customHeight="1" x14ac:dyDescent="0.35">
      <c r="A14" s="26" t="s">
        <v>220</v>
      </c>
      <c r="B14" s="46"/>
      <c r="C14" s="106"/>
      <c r="D14" s="106"/>
      <c r="E14" s="106"/>
      <c r="F14" s="106"/>
      <c r="G14" s="106"/>
    </row>
    <row r="15" spans="1:7" s="4" customFormat="1" ht="15" customHeight="1" x14ac:dyDescent="0.35">
      <c r="A15" s="99" t="s">
        <v>284</v>
      </c>
      <c r="B15" s="46"/>
    </row>
    <row r="16" spans="1:7" s="4" customFormat="1" ht="15" customHeight="1" x14ac:dyDescent="0.35">
      <c r="A16" s="31" t="s">
        <v>285</v>
      </c>
      <c r="B16" s="46"/>
      <c r="C16" s="39" t="s">
        <v>1</v>
      </c>
      <c r="D16" s="34" t="s">
        <v>2</v>
      </c>
      <c r="E16" s="25"/>
      <c r="F16" s="33" t="s">
        <v>3</v>
      </c>
      <c r="G16" s="34" t="s">
        <v>2</v>
      </c>
    </row>
    <row r="17" spans="1:12" s="4" customFormat="1" ht="15" customHeight="1" x14ac:dyDescent="0.35">
      <c r="A17" s="26" t="s">
        <v>221</v>
      </c>
      <c r="C17" s="116" t="s">
        <v>4</v>
      </c>
      <c r="D17" s="117">
        <v>50</v>
      </c>
      <c r="E17" s="47"/>
      <c r="F17" s="118" t="s">
        <v>5</v>
      </c>
      <c r="G17" s="117">
        <v>50</v>
      </c>
      <c r="H17" s="46"/>
      <c r="I17" s="46"/>
      <c r="J17" s="46"/>
      <c r="K17" s="46"/>
      <c r="L17" s="46"/>
    </row>
    <row r="18" spans="1:12" s="4" customFormat="1" ht="15" customHeight="1" x14ac:dyDescent="0.35">
      <c r="A18" s="26" t="s">
        <v>146</v>
      </c>
      <c r="C18" s="116" t="s">
        <v>6</v>
      </c>
      <c r="D18" s="117">
        <v>20</v>
      </c>
      <c r="E18" s="47"/>
      <c r="F18" s="118" t="s">
        <v>7</v>
      </c>
      <c r="G18" s="117">
        <v>30</v>
      </c>
      <c r="H18" s="46"/>
      <c r="I18" s="46"/>
      <c r="J18" s="46"/>
      <c r="K18" s="46"/>
      <c r="L18" s="46"/>
    </row>
    <row r="19" spans="1:12" s="4" customFormat="1" ht="15" customHeight="1" x14ac:dyDescent="0.35">
      <c r="A19" s="26" t="s">
        <v>147</v>
      </c>
      <c r="C19" s="116" t="s">
        <v>8</v>
      </c>
      <c r="D19" s="117">
        <v>60</v>
      </c>
      <c r="E19" s="47"/>
      <c r="F19" s="118" t="s">
        <v>9</v>
      </c>
      <c r="G19" s="117">
        <v>10</v>
      </c>
      <c r="H19" s="46"/>
      <c r="I19" s="46"/>
      <c r="J19" s="46"/>
      <c r="K19" s="46"/>
      <c r="L19" s="46"/>
    </row>
    <row r="20" spans="1:12" s="4" customFormat="1" ht="15" customHeight="1" x14ac:dyDescent="0.35">
      <c r="A20" s="26" t="s">
        <v>30</v>
      </c>
      <c r="C20" s="116" t="s">
        <v>10</v>
      </c>
      <c r="D20" s="117">
        <v>40</v>
      </c>
      <c r="E20" s="47"/>
      <c r="F20" s="118" t="s">
        <v>11</v>
      </c>
      <c r="G20" s="117">
        <v>50</v>
      </c>
      <c r="H20" s="46"/>
      <c r="I20" s="46"/>
      <c r="J20" s="46"/>
      <c r="K20" s="46"/>
      <c r="L20" s="46"/>
    </row>
    <row r="21" spans="1:12" s="4" customFormat="1" ht="15" customHeight="1" thickBot="1" x14ac:dyDescent="0.4">
      <c r="A21" s="26" t="s">
        <v>71</v>
      </c>
      <c r="C21" s="46"/>
      <c r="D21" s="46"/>
      <c r="E21" s="46"/>
      <c r="F21" s="46"/>
      <c r="G21" s="46"/>
      <c r="H21" s="46"/>
      <c r="I21" s="46"/>
      <c r="J21" s="46"/>
      <c r="K21" s="46"/>
      <c r="L21" s="46"/>
    </row>
    <row r="22" spans="1:12" s="4" customFormat="1" ht="15" customHeight="1" thickTop="1" thickBot="1" x14ac:dyDescent="0.4">
      <c r="A22" s="26" t="s">
        <v>72</v>
      </c>
      <c r="C22" s="62" t="s">
        <v>4</v>
      </c>
      <c r="D22" s="50"/>
      <c r="E22" s="47"/>
      <c r="F22" s="62" t="s">
        <v>9</v>
      </c>
      <c r="G22" s="50"/>
      <c r="H22" s="46"/>
      <c r="I22" s="46"/>
      <c r="J22" s="46"/>
      <c r="K22" s="46"/>
      <c r="L22" s="46"/>
    </row>
    <row r="23" spans="1:12" s="4" customFormat="1" ht="15" customHeight="1" thickTop="1" x14ac:dyDescent="0.35">
      <c r="A23" s="26" t="s">
        <v>73</v>
      </c>
      <c r="C23" s="46"/>
      <c r="D23" s="47"/>
      <c r="E23" s="47"/>
      <c r="F23" s="46"/>
      <c r="G23" s="47"/>
      <c r="H23" s="46"/>
      <c r="I23" s="46"/>
      <c r="J23" s="46"/>
      <c r="K23" s="46"/>
      <c r="L23" s="46"/>
    </row>
    <row r="24" spans="1:12" s="4" customFormat="1" ht="15" customHeight="1" x14ac:dyDescent="0.35">
      <c r="A24" s="26" t="s">
        <v>74</v>
      </c>
      <c r="H24" s="46"/>
      <c r="I24" s="46"/>
      <c r="J24" s="46"/>
      <c r="K24" s="46"/>
      <c r="L24" s="46"/>
    </row>
    <row r="25" spans="1:12" s="4" customFormat="1" ht="15" customHeight="1" x14ac:dyDescent="0.35">
      <c r="A25" s="26" t="s">
        <v>33</v>
      </c>
      <c r="H25" s="46"/>
      <c r="I25" s="46"/>
      <c r="J25" s="46"/>
      <c r="K25" s="46"/>
      <c r="L25" s="46"/>
    </row>
    <row r="26" spans="1:12" ht="15" customHeight="1" x14ac:dyDescent="0.35">
      <c r="C26" s="4"/>
      <c r="E26" s="4"/>
      <c r="F26" s="4"/>
      <c r="G26" s="4"/>
      <c r="H26" s="45"/>
      <c r="I26" s="46"/>
      <c r="J26" s="46"/>
      <c r="K26" s="46"/>
      <c r="L26" s="46"/>
    </row>
    <row r="27" spans="1:12" ht="15" customHeight="1" x14ac:dyDescent="0.35">
      <c r="C27" s="4"/>
      <c r="E27" s="4"/>
      <c r="F27" s="4"/>
      <c r="G27" s="4"/>
      <c r="H27" s="45"/>
      <c r="I27" s="45"/>
      <c r="J27" s="45"/>
      <c r="K27" s="45"/>
      <c r="L27" s="45"/>
    </row>
    <row r="28" spans="1:12" ht="15" customHeight="1" x14ac:dyDescent="0.35">
      <c r="C28" s="4"/>
      <c r="E28" s="4"/>
      <c r="F28" s="4"/>
      <c r="G28" s="4"/>
      <c r="H28" s="45"/>
      <c r="I28" s="45"/>
      <c r="J28" s="45"/>
      <c r="K28" s="45"/>
      <c r="L28" s="45"/>
    </row>
    <row r="29" spans="1:12" ht="15" customHeight="1" x14ac:dyDescent="0.35">
      <c r="H29" s="45"/>
      <c r="I29" s="45"/>
      <c r="J29" s="45"/>
      <c r="K29" s="45"/>
      <c r="L29" s="45"/>
    </row>
    <row r="30" spans="1:12" ht="15" customHeight="1" x14ac:dyDescent="0.35">
      <c r="H30" s="45"/>
      <c r="I30" s="45"/>
      <c r="J30" s="45"/>
      <c r="K30" s="45"/>
      <c r="L30" s="45"/>
    </row>
    <row r="31" spans="1:12" ht="15" customHeight="1" x14ac:dyDescent="0.35">
      <c r="H31" s="45"/>
      <c r="I31" s="45"/>
      <c r="J31" s="45"/>
      <c r="K31" s="45"/>
      <c r="L31" s="45"/>
    </row>
    <row r="32" spans="1:12" ht="15" customHeight="1" x14ac:dyDescent="0.35">
      <c r="H32" s="45"/>
      <c r="I32" s="45"/>
      <c r="J32" s="45"/>
      <c r="K32" s="45"/>
      <c r="L32" s="45"/>
    </row>
    <row r="33" spans="2:7" ht="15" customHeight="1" x14ac:dyDescent="0.35">
      <c r="B33" s="45"/>
      <c r="C33" s="104"/>
      <c r="D33" s="105"/>
      <c r="E33" s="105"/>
      <c r="F33" s="105"/>
      <c r="G33" s="105"/>
    </row>
    <row r="34" spans="2:7" ht="15" customHeight="1" x14ac:dyDescent="0.35">
      <c r="B34" s="45"/>
      <c r="C34" s="105"/>
      <c r="D34" s="105"/>
      <c r="E34" s="105"/>
      <c r="F34" s="105"/>
      <c r="G34" s="105"/>
    </row>
    <row r="35" spans="2:7" ht="15" customHeight="1" x14ac:dyDescent="0.35">
      <c r="B35" s="45"/>
      <c r="C35" s="94" t="s">
        <v>22</v>
      </c>
      <c r="D35" s="92"/>
      <c r="E35" s="92"/>
      <c r="F35" s="92"/>
      <c r="G35" s="92"/>
    </row>
    <row r="36" spans="2:7" ht="15" customHeight="1" x14ac:dyDescent="0.35">
      <c r="B36" s="45"/>
      <c r="C36" s="39" t="s">
        <v>12</v>
      </c>
      <c r="D36" s="34" t="s">
        <v>2</v>
      </c>
      <c r="E36" s="25"/>
      <c r="F36" s="33" t="s">
        <v>12</v>
      </c>
      <c r="G36" s="34" t="s">
        <v>2</v>
      </c>
    </row>
    <row r="37" spans="2:7" ht="15" customHeight="1" x14ac:dyDescent="0.35">
      <c r="B37" s="45"/>
      <c r="C37" s="116" t="s">
        <v>13</v>
      </c>
      <c r="D37" s="117">
        <v>50</v>
      </c>
      <c r="E37" s="47"/>
      <c r="F37" s="118" t="s">
        <v>13</v>
      </c>
      <c r="G37" s="117">
        <v>50</v>
      </c>
    </row>
    <row r="38" spans="2:7" ht="15" customHeight="1" x14ac:dyDescent="0.35">
      <c r="B38" s="45"/>
      <c r="C38" s="116" t="s">
        <v>14</v>
      </c>
      <c r="D38" s="117">
        <v>100</v>
      </c>
      <c r="E38" s="47"/>
      <c r="F38" s="118" t="s">
        <v>14</v>
      </c>
      <c r="G38" s="117">
        <v>100</v>
      </c>
    </row>
    <row r="39" spans="2:7" ht="15" customHeight="1" x14ac:dyDescent="0.35">
      <c r="B39" s="45"/>
      <c r="C39" s="116" t="s">
        <v>15</v>
      </c>
      <c r="D39" s="117">
        <v>40</v>
      </c>
      <c r="E39" s="47"/>
      <c r="F39" s="118" t="s">
        <v>15</v>
      </c>
      <c r="G39" s="117">
        <v>40</v>
      </c>
    </row>
    <row r="40" spans="2:7" ht="15" customHeight="1" x14ac:dyDescent="0.35">
      <c r="C40" s="116" t="s">
        <v>16</v>
      </c>
      <c r="D40" s="117">
        <v>50</v>
      </c>
      <c r="E40" s="47"/>
      <c r="F40" s="118" t="s">
        <v>16</v>
      </c>
      <c r="G40" s="117">
        <v>50</v>
      </c>
    </row>
    <row r="41" spans="2:7" ht="15" customHeight="1" x14ac:dyDescent="0.35">
      <c r="C41" s="116" t="s">
        <v>17</v>
      </c>
      <c r="D41" s="117">
        <v>20</v>
      </c>
      <c r="E41" s="47"/>
      <c r="F41" s="118" t="s">
        <v>17</v>
      </c>
      <c r="G41" s="117">
        <v>20</v>
      </c>
    </row>
    <row r="42" spans="2:7" ht="15" customHeight="1" thickBot="1" x14ac:dyDescent="0.4">
      <c r="C42" s="46"/>
      <c r="D42" s="46"/>
      <c r="E42" s="46"/>
      <c r="F42" s="46"/>
      <c r="G42" s="46"/>
    </row>
    <row r="43" spans="2:7" ht="15" customHeight="1" thickTop="1" thickBot="1" x14ac:dyDescent="0.4">
      <c r="B43" s="45"/>
      <c r="C43" s="62"/>
      <c r="D43" s="50" t="e">
        <f>VLOOKUP(C43,C37:D41,2,FALSE)</f>
        <v>#N/A</v>
      </c>
      <c r="E43" s="47"/>
      <c r="F43" s="96" t="s">
        <v>286</v>
      </c>
      <c r="G43" s="50" t="str">
        <f>IFERROR(VLOOKUP(F43,F37:G41,2,FALSE),"")</f>
        <v/>
      </c>
    </row>
    <row r="44" spans="2:7" ht="15" customHeight="1" thickTop="1" x14ac:dyDescent="0.35">
      <c r="B44" s="45"/>
      <c r="C44" s="45"/>
      <c r="D44" s="46"/>
      <c r="E44" s="45"/>
      <c r="F44" s="45"/>
      <c r="G44" s="45"/>
    </row>
    <row r="45" spans="2:7" ht="15" customHeight="1" x14ac:dyDescent="0.35">
      <c r="B45" s="45"/>
      <c r="C45" s="45"/>
      <c r="D45" s="46"/>
      <c r="E45" s="45"/>
      <c r="F45" s="45"/>
      <c r="G45" s="45"/>
    </row>
    <row r="46" spans="2:7" ht="15" customHeight="1" x14ac:dyDescent="0.35">
      <c r="B46" s="45"/>
      <c r="C46" s="45"/>
      <c r="D46" s="46"/>
      <c r="E46" s="45"/>
      <c r="F46" s="45"/>
      <c r="G46" s="45"/>
    </row>
    <row r="47" spans="2:7" ht="15" customHeight="1" x14ac:dyDescent="0.35">
      <c r="B47" s="45"/>
      <c r="C47" s="45"/>
      <c r="D47" s="46"/>
      <c r="E47" s="45"/>
      <c r="F47" s="45"/>
      <c r="G47" s="45"/>
    </row>
    <row r="48" spans="2:7" ht="15" customHeight="1" x14ac:dyDescent="0.35">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election activeCell="E123" sqref="E123"/>
    </sheetView>
  </sheetViews>
  <sheetFormatPr defaultColWidth="8.90625" defaultRowHeight="14.5" x14ac:dyDescent="0.35"/>
  <cols>
    <col min="1" max="1" width="12.6328125" style="9" customWidth="1"/>
    <col min="2" max="2" width="82.90625" style="24" customWidth="1"/>
    <col min="3" max="4" width="12.6328125" style="20" customWidth="1"/>
    <col min="5" max="5" width="8.453125" style="20" bestFit="1" customWidth="1"/>
    <col min="6" max="8" width="12.6328125" style="20" customWidth="1"/>
    <col min="9" max="25" width="8.90625" style="20"/>
    <col min="26" max="26" width="8.90625" style="20" hidden="1" customWidth="1"/>
    <col min="27" max="27" width="2.36328125" style="20" hidden="1" customWidth="1"/>
    <col min="28" max="28" width="11" style="20" hidden="1" customWidth="1"/>
    <col min="29" max="29" width="2.36328125" style="20" hidden="1" customWidth="1"/>
    <col min="30" max="30" width="11" style="20" hidden="1" customWidth="1"/>
    <col min="31" max="31" width="2.36328125" style="20" hidden="1" customWidth="1"/>
    <col min="32" max="32" width="11" style="20" hidden="1" customWidth="1"/>
    <col min="33" max="33" width="2.36328125" style="20" hidden="1" customWidth="1"/>
    <col min="34" max="34" width="11" style="20" hidden="1" customWidth="1"/>
    <col min="35" max="16384" width="8.90625" style="20"/>
  </cols>
  <sheetData>
    <row r="1" spans="1:34" ht="60" customHeight="1" x14ac:dyDescent="0.35">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5">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5">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5">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4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5">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5">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5">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5">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5">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5">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5">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5">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5">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5">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4">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5">
      <c r="A17" s="29" t="s">
        <v>137</v>
      </c>
      <c r="B17" s="46"/>
      <c r="C17" s="54" t="s">
        <v>4</v>
      </c>
      <c r="D17" s="55"/>
      <c r="E17" s="47"/>
      <c r="F17" s="54" t="s">
        <v>6</v>
      </c>
      <c r="G17" s="54" t="s">
        <v>46</v>
      </c>
      <c r="H17" s="50"/>
      <c r="I17" s="46"/>
      <c r="J17" s="136"/>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5">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5">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5">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5">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5">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5">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5">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5">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5">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5">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5">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5">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5">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5">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5">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5">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5">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5">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5">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5">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5">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5">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5">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5">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5">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5">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5">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5">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5">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5">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5">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5">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5">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5">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5">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5">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5">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5">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5">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5">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5">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5">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5">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5">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5">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4">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5" thickTop="1" thickBot="1" x14ac:dyDescent="0.4">
      <c r="B64" s="9"/>
      <c r="C64" s="54" t="s">
        <v>4</v>
      </c>
      <c r="D64" s="55"/>
      <c r="E64" s="47"/>
      <c r="F64" s="54" t="s">
        <v>6</v>
      </c>
      <c r="G64" s="54" t="s">
        <v>46</v>
      </c>
      <c r="H64" s="50"/>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5">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5">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5">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5">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5">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5">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5">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5">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5">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5">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5">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5">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5">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5">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5">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5">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5">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5">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5">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5">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5">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5">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5">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5">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5">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5">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5">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5">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5">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5">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5">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5">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5">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5">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5">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5">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5">
      <c r="B101" s="9"/>
      <c r="C101" s="48" t="s">
        <v>6</v>
      </c>
      <c r="D101" s="48" t="s">
        <v>50</v>
      </c>
      <c r="E101" s="49">
        <v>20</v>
      </c>
      <c r="F101" s="45"/>
      <c r="G101" s="45"/>
    </row>
    <row r="102" spans="2:34" ht="15" customHeight="1" x14ac:dyDescent="0.35">
      <c r="B102" s="9"/>
      <c r="C102" s="48" t="s">
        <v>8</v>
      </c>
      <c r="D102" s="48" t="s">
        <v>47</v>
      </c>
      <c r="E102" s="49">
        <v>60</v>
      </c>
      <c r="F102" s="45"/>
      <c r="G102" s="45"/>
    </row>
    <row r="103" spans="2:34" ht="15" customHeight="1" x14ac:dyDescent="0.35">
      <c r="B103" s="9"/>
      <c r="C103" s="48" t="s">
        <v>10</v>
      </c>
      <c r="D103" s="48" t="s">
        <v>52</v>
      </c>
      <c r="E103" s="49">
        <v>40</v>
      </c>
      <c r="F103" s="45"/>
      <c r="G103" s="45"/>
    </row>
    <row r="104" spans="2:34" ht="15" customHeight="1" x14ac:dyDescent="0.35">
      <c r="B104" s="9"/>
      <c r="C104" s="46"/>
      <c r="D104" s="46"/>
      <c r="E104" s="47"/>
    </row>
    <row r="105" spans="2:34" ht="15" customHeight="1" thickBot="1" x14ac:dyDescent="0.4">
      <c r="B105" s="9"/>
      <c r="C105" s="46" t="s">
        <v>1</v>
      </c>
      <c r="D105" s="46" t="s">
        <v>44</v>
      </c>
      <c r="E105" s="25" t="s">
        <v>82</v>
      </c>
    </row>
    <row r="106" spans="2:34" ht="15" customHeight="1" thickTop="1" thickBot="1" x14ac:dyDescent="0.4">
      <c r="B106" s="9"/>
      <c r="C106" s="54" t="s">
        <v>10</v>
      </c>
      <c r="D106" s="54" t="s">
        <v>52</v>
      </c>
      <c r="E106" s="50"/>
    </row>
    <row r="107" spans="2:34" ht="15" customHeight="1" thickTop="1" x14ac:dyDescent="0.35">
      <c r="B107" s="9"/>
      <c r="E107" s="45"/>
    </row>
    <row r="108" spans="2:34" x14ac:dyDescent="0.35">
      <c r="E108" s="45"/>
    </row>
    <row r="109" spans="2:34" x14ac:dyDescent="0.35">
      <c r="E109" s="45"/>
    </row>
    <row r="110" spans="2:34" x14ac:dyDescent="0.35">
      <c r="E110" s="45"/>
    </row>
    <row r="117" spans="3:4" x14ac:dyDescent="0.35">
      <c r="C117" s="7" t="s">
        <v>12</v>
      </c>
      <c r="D117" s="7" t="s">
        <v>2</v>
      </c>
    </row>
    <row r="118" spans="3:4" x14ac:dyDescent="0.35">
      <c r="C118" s="13" t="s">
        <v>13</v>
      </c>
      <c r="D118" s="13">
        <v>50</v>
      </c>
    </row>
    <row r="119" spans="3:4" x14ac:dyDescent="0.35">
      <c r="C119" s="13" t="s">
        <v>14</v>
      </c>
      <c r="D119" s="13">
        <v>100</v>
      </c>
    </row>
    <row r="120" spans="3:4" x14ac:dyDescent="0.35">
      <c r="C120" s="13" t="s">
        <v>15</v>
      </c>
      <c r="D120" s="13">
        <v>40</v>
      </c>
    </row>
    <row r="121" spans="3:4" x14ac:dyDescent="0.35">
      <c r="C121" s="13" t="s">
        <v>16</v>
      </c>
      <c r="D121" s="13">
        <v>50</v>
      </c>
    </row>
    <row r="122" spans="3:4" ht="15" thickBot="1" x14ac:dyDescent="0.4">
      <c r="C122" s="13" t="s">
        <v>17</v>
      </c>
      <c r="D122" s="13">
        <v>20</v>
      </c>
    </row>
    <row r="123" spans="3:4" ht="15.5" thickTop="1" thickBot="1" x14ac:dyDescent="0.4">
      <c r="C123" s="59"/>
      <c r="D123" s="60">
        <f>SUMIF(D118:D122,"&gt;=50")</f>
        <v>200</v>
      </c>
    </row>
    <row r="124" spans="3:4" ht="15" thickTop="1" x14ac:dyDescent="0.35"/>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4.5" x14ac:dyDescent="0.35"/>
  <cols>
    <col min="1" max="1" width="13" customWidth="1"/>
    <col min="2" max="2" width="82.90625" customWidth="1"/>
    <col min="3" max="4" width="13.08984375" customWidth="1"/>
  </cols>
  <sheetData>
    <row r="1" spans="1:4" ht="60" customHeight="1" x14ac:dyDescent="0.35">
      <c r="A1" s="29" t="s">
        <v>257</v>
      </c>
      <c r="C1" s="80"/>
      <c r="D1" s="93"/>
    </row>
    <row r="2" spans="1:4" x14ac:dyDescent="0.35">
      <c r="A2" s="29" t="s">
        <v>258</v>
      </c>
    </row>
    <row r="3" spans="1:4" ht="15" customHeight="1" x14ac:dyDescent="0.35">
      <c r="A3" s="31" t="s">
        <v>313</v>
      </c>
    </row>
    <row r="4" spans="1:4" ht="15" customHeight="1" x14ac:dyDescent="0.35">
      <c r="A4" s="31" t="s">
        <v>288</v>
      </c>
      <c r="C4" s="39" t="s">
        <v>1</v>
      </c>
      <c r="D4" s="34" t="s">
        <v>2</v>
      </c>
    </row>
    <row r="5" spans="1:4" ht="15" customHeight="1" x14ac:dyDescent="0.35">
      <c r="A5" s="31" t="s">
        <v>299</v>
      </c>
      <c r="C5" s="48" t="s">
        <v>4</v>
      </c>
      <c r="D5" s="49">
        <v>50</v>
      </c>
    </row>
    <row r="6" spans="1:4" x14ac:dyDescent="0.35">
      <c r="A6" s="29" t="s">
        <v>259</v>
      </c>
      <c r="C6" s="48" t="s">
        <v>6</v>
      </c>
      <c r="D6" s="49">
        <v>20</v>
      </c>
    </row>
    <row r="7" spans="1:4" ht="15" customHeight="1" x14ac:dyDescent="0.35">
      <c r="A7" s="31" t="s">
        <v>289</v>
      </c>
      <c r="C7" s="48" t="s">
        <v>8</v>
      </c>
      <c r="D7" s="49">
        <v>60</v>
      </c>
    </row>
    <row r="8" spans="1:4" ht="15" customHeight="1" x14ac:dyDescent="0.35">
      <c r="A8" s="29" t="s">
        <v>146</v>
      </c>
      <c r="C8" s="48" t="s">
        <v>10</v>
      </c>
      <c r="D8" s="49">
        <v>40</v>
      </c>
    </row>
    <row r="9" spans="1:4" ht="15" customHeight="1" thickBot="1" x14ac:dyDescent="0.4">
      <c r="A9" s="29" t="s">
        <v>147</v>
      </c>
      <c r="C9" s="46"/>
      <c r="D9" s="46"/>
    </row>
    <row r="10" spans="1:4" ht="15.5" thickTop="1" thickBot="1" x14ac:dyDescent="0.4">
      <c r="A10" s="29" t="s">
        <v>30</v>
      </c>
      <c r="C10" s="62" t="s">
        <v>4</v>
      </c>
      <c r="D10" s="50">
        <f>VLOOKUP(C10,C5:D8,2,FALSE)</f>
        <v>50</v>
      </c>
    </row>
    <row r="11" spans="1:4" ht="15" thickTop="1" x14ac:dyDescent="0.35">
      <c r="A11" s="29" t="s">
        <v>149</v>
      </c>
    </row>
    <row r="12" spans="1:4" x14ac:dyDescent="0.35">
      <c r="A12" s="29" t="s">
        <v>260</v>
      </c>
    </row>
    <row r="13" spans="1:4" x14ac:dyDescent="0.35">
      <c r="A13" s="29" t="s">
        <v>261</v>
      </c>
    </row>
    <row r="14" spans="1:4" x14ac:dyDescent="0.35">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36" sqref="D36"/>
    </sheetView>
  </sheetViews>
  <sheetFormatPr defaultRowHeight="14.5" x14ac:dyDescent="0.35"/>
  <cols>
    <col min="1" max="1" width="13" customWidth="1"/>
    <col min="2" max="2" width="82.90625" customWidth="1"/>
    <col min="3" max="4" width="13.36328125" customWidth="1"/>
  </cols>
  <sheetData>
    <row r="1" spans="1:4" ht="60" customHeight="1" x14ac:dyDescent="0.35">
      <c r="A1" s="29" t="s">
        <v>262</v>
      </c>
      <c r="C1" s="80"/>
      <c r="D1" s="98"/>
    </row>
    <row r="2" spans="1:4" ht="15" customHeight="1" x14ac:dyDescent="0.35">
      <c r="A2" s="29" t="s">
        <v>263</v>
      </c>
      <c r="C2" s="97"/>
      <c r="D2" s="97"/>
    </row>
    <row r="3" spans="1:4" x14ac:dyDescent="0.35">
      <c r="A3" s="29" t="s">
        <v>264</v>
      </c>
      <c r="C3" s="39" t="s">
        <v>1</v>
      </c>
      <c r="D3" s="34" t="s">
        <v>2</v>
      </c>
    </row>
    <row r="4" spans="1:4" x14ac:dyDescent="0.35">
      <c r="A4" s="29" t="s">
        <v>265</v>
      </c>
      <c r="C4" s="116" t="s">
        <v>4</v>
      </c>
      <c r="D4" s="117">
        <v>50</v>
      </c>
    </row>
    <row r="5" spans="1:4" x14ac:dyDescent="0.35">
      <c r="A5" s="29" t="s">
        <v>266</v>
      </c>
      <c r="C5" s="116" t="s">
        <v>6</v>
      </c>
      <c r="D5" s="117">
        <v>20</v>
      </c>
    </row>
    <row r="6" spans="1:4" x14ac:dyDescent="0.35">
      <c r="A6" s="29" t="s">
        <v>267</v>
      </c>
      <c r="C6" s="116" t="s">
        <v>8</v>
      </c>
      <c r="D6" s="117">
        <v>60</v>
      </c>
    </row>
    <row r="7" spans="1:4" ht="15" customHeight="1" x14ac:dyDescent="0.35">
      <c r="A7" s="31" t="s">
        <v>290</v>
      </c>
      <c r="C7" s="116" t="s">
        <v>10</v>
      </c>
      <c r="D7" s="117">
        <v>40</v>
      </c>
    </row>
    <row r="8" spans="1:4" ht="15" thickBot="1" x14ac:dyDescent="0.4">
      <c r="A8" s="29" t="s">
        <v>146</v>
      </c>
      <c r="C8" s="46"/>
      <c r="D8" s="46"/>
    </row>
    <row r="9" spans="1:4" ht="15.5" thickTop="1" thickBot="1" x14ac:dyDescent="0.4">
      <c r="A9" s="29" t="s">
        <v>147</v>
      </c>
      <c r="C9" s="96" t="s">
        <v>121</v>
      </c>
      <c r="D9" s="50" t="e">
        <f>VLOOKUP(C9,C3:D7,2,FALSE)</f>
        <v>#N/A</v>
      </c>
    </row>
    <row r="10" spans="1:4" ht="15" thickTop="1" x14ac:dyDescent="0.35">
      <c r="A10" s="29" t="s">
        <v>30</v>
      </c>
    </row>
    <row r="11" spans="1:4" x14ac:dyDescent="0.35">
      <c r="A11" s="29" t="s">
        <v>268</v>
      </c>
    </row>
    <row r="12" spans="1:4" x14ac:dyDescent="0.35">
      <c r="A12" s="29" t="s">
        <v>269</v>
      </c>
    </row>
    <row r="13" spans="1:4" x14ac:dyDescent="0.35">
      <c r="A13" s="29" t="s">
        <v>270</v>
      </c>
    </row>
    <row r="14" spans="1:4" x14ac:dyDescent="0.35">
      <c r="A14" s="29" t="s">
        <v>33</v>
      </c>
    </row>
    <row r="30" spans="3:4" x14ac:dyDescent="0.35">
      <c r="C30" s="39" t="s">
        <v>1</v>
      </c>
      <c r="D30" s="34" t="s">
        <v>2</v>
      </c>
    </row>
    <row r="31" spans="3:4" x14ac:dyDescent="0.35">
      <c r="C31" s="116" t="s">
        <v>4</v>
      </c>
      <c r="D31" s="117">
        <v>50</v>
      </c>
    </row>
    <row r="32" spans="3:4" x14ac:dyDescent="0.35">
      <c r="C32" s="116" t="s">
        <v>6</v>
      </c>
      <c r="D32" s="117">
        <v>20</v>
      </c>
    </row>
    <row r="33" spans="3:4" x14ac:dyDescent="0.35">
      <c r="C33" s="116" t="s">
        <v>8</v>
      </c>
      <c r="D33" s="117">
        <v>60</v>
      </c>
    </row>
    <row r="34" spans="3:4" x14ac:dyDescent="0.35">
      <c r="C34" s="116" t="s">
        <v>10</v>
      </c>
      <c r="D34" s="117">
        <v>40</v>
      </c>
    </row>
    <row r="35" spans="3:4" ht="15" thickBot="1" x14ac:dyDescent="0.4"/>
    <row r="36" spans="3:4" ht="15.5" thickTop="1" thickBot="1" x14ac:dyDescent="0.4">
      <c r="C36" s="96" t="s">
        <v>65</v>
      </c>
      <c r="D36" s="50" t="e">
        <f ca="1">sume(D31:D34)</f>
        <v>#NAME?</v>
      </c>
    </row>
    <row r="37" spans="3:4" ht="15" thickTop="1" x14ac:dyDescent="0.3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90625" defaultRowHeight="15" customHeight="1" x14ac:dyDescent="0.35"/>
  <cols>
    <col min="1" max="1" width="8.90625" style="9"/>
    <col min="2" max="2" width="95.08984375" style="40" customWidth="1"/>
    <col min="3" max="16384" width="8.90625" style="40"/>
  </cols>
  <sheetData>
    <row r="1" spans="1:2" ht="60" customHeight="1" x14ac:dyDescent="0.35">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9">
      <c r="A4" s="9" t="s">
        <v>78</v>
      </c>
      <c r="B4" s="40"/>
    </row>
    <row r="5" spans="1:2" s="43" customFormat="1" ht="15" customHeight="1" x14ac:dyDescent="0.35">
      <c r="A5" s="9" t="s">
        <v>79</v>
      </c>
      <c r="B5" s="40"/>
    </row>
    <row r="6" spans="1:2" s="43" customFormat="1" ht="15" customHeight="1" x14ac:dyDescent="0.35">
      <c r="A6" s="44" t="s">
        <v>80</v>
      </c>
      <c r="B6" s="40"/>
    </row>
    <row r="7" spans="1:2" ht="15" customHeight="1" x14ac:dyDescent="0.35">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3.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2026-05-14T21:55:40Z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